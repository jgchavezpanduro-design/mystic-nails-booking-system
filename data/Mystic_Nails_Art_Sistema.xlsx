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itas" sheetId="2" r:id="rId6"/>
    <sheet state="visible" name="Clientas" sheetId="3" r:id="rId7"/>
    <sheet state="visible" name="Servicios" sheetId="4" r:id="rId8"/>
    <sheet state="visible" name="Manicuristas" sheetId="5" r:id="rId9"/>
    <sheet state="visible" name="Compras" sheetId="6" r:id="rId10"/>
    <sheet state="visible" name="Liquidaciones" sheetId="7" r:id="rId11"/>
    <sheet state="visible" name="Configuración" sheetId="8" r:id="rId12"/>
  </sheets>
  <definedNames/>
  <calcPr/>
</workbook>
</file>

<file path=xl/sharedStrings.xml><?xml version="1.0" encoding="utf-8"?>
<sst xmlns="http://schemas.openxmlformats.org/spreadsheetml/2006/main" count="321" uniqueCount="234">
  <si>
    <t>Mystic Nails Art</t>
  </si>
  <si>
    <t>Panel del mes</t>
  </si>
  <si>
    <t>Mes:</t>
  </si>
  <si>
    <t>Año:</t>
  </si>
  <si>
    <t>Citas del mes</t>
  </si>
  <si>
    <t>Ingresos brutos</t>
  </si>
  <si>
    <t>Comisiones a manicuristas</t>
  </si>
  <si>
    <t>Compras del mes</t>
  </si>
  <si>
    <t>% Empresa $</t>
  </si>
  <si>
    <t>% Admin $ (tu pago)</t>
  </si>
  <si>
    <t>Saldo neto empresa</t>
  </si>
  <si>
    <t>Tu pago neto (admin)</t>
  </si>
  <si>
    <t>Citas próximas (próximos 7 días)</t>
  </si>
  <si>
    <t>Resumen del mes</t>
  </si>
  <si>
    <t>Fecha</t>
  </si>
  <si>
    <t>Hora</t>
  </si>
  <si>
    <t>Clienta</t>
  </si>
  <si>
    <t>Manicurista</t>
  </si>
  <si>
    <t>Servicio</t>
  </si>
  <si>
    <t>Estado</t>
  </si>
  <si>
    <t>Promedio por cita</t>
  </si>
  <si>
    <t>Propinas del mes</t>
  </si>
  <si>
    <t>Descuentos otorgados</t>
  </si>
  <si>
    <t>Citas canceladas</t>
  </si>
  <si>
    <t>No-shows</t>
  </si>
  <si>
    <t>Citas y servicios</t>
  </si>
  <si>
    <t>Cada fila es una cita. Las celdas en gris claro se calculan solas.</t>
  </si>
  <si>
    <t>ID Cita</t>
  </si>
  <si>
    <t>Hora Inicio</t>
  </si>
  <si>
    <t>Duración (min)</t>
  </si>
  <si>
    <t>Tipo (auto)</t>
  </si>
  <si>
    <t>Servicio Principal</t>
  </si>
  <si>
    <t>Detalle del servicio</t>
  </si>
  <si>
    <t>Servicios extras</t>
  </si>
  <si>
    <t>Precio servicio (auto)</t>
  </si>
  <si>
    <t>Cobro extras</t>
  </si>
  <si>
    <t>Subtotal (auto)</t>
  </si>
  <si>
    <t>Descuento</t>
  </si>
  <si>
    <t>Propina</t>
  </si>
  <si>
    <t>Depósito</t>
  </si>
  <si>
    <t>Total cobrado (auto)</t>
  </si>
  <si>
    <t>Saldo día (auto)</t>
  </si>
  <si>
    <t>Método pago</t>
  </si>
  <si>
    <t>Notas</t>
  </si>
  <si>
    <t>% Manicurista (auto)</t>
  </si>
  <si>
    <t>% Empresa (auto)</t>
  </si>
  <si>
    <t>% Admin (auto)</t>
  </si>
  <si>
    <t>Comisión $ (auto)</t>
  </si>
  <si>
    <t>Empresa $ (auto)</t>
  </si>
  <si>
    <t>Admin $ (auto)</t>
  </si>
  <si>
    <t>Pago manicurista total (auto)</t>
  </si>
  <si>
    <t>Foto Drive (link)</t>
  </si>
  <si>
    <t>CT001</t>
  </si>
  <si>
    <t>Efectivo</t>
  </si>
  <si>
    <t>Completada</t>
  </si>
  <si>
    <t>Cliente recurrente</t>
  </si>
  <si>
    <t>CT002</t>
  </si>
  <si>
    <t>Transferencia</t>
  </si>
  <si>
    <t>CT003</t>
  </si>
  <si>
    <t>Confirmada</t>
  </si>
  <si>
    <t>Pidió descuento por referida</t>
  </si>
  <si>
    <t>Clientas</t>
  </si>
  <si>
    <t>Catálogo de clientas. Marca cada una como Local o Extranjera.</t>
  </si>
  <si>
    <t>ID</t>
  </si>
  <si>
    <t>Nombre</t>
  </si>
  <si>
    <t>Teléfono</t>
  </si>
  <si>
    <t>Instagram</t>
  </si>
  <si>
    <t>Tipo</t>
  </si>
  <si>
    <t>Cumpleaños</t>
  </si>
  <si>
    <t>Cómo te encontró</t>
  </si>
  <si>
    <t>Notas / alergias</t>
  </si>
  <si>
    <t>Primera visita</t>
  </si>
  <si>
    <t>Última visita</t>
  </si>
  <si>
    <t># Visitas</t>
  </si>
  <si>
    <t>Total gastado</t>
  </si>
  <si>
    <t>Catálogo de servicios</t>
  </si>
  <si>
    <t>Precios en MXN. Local = clienta de México. Extranjera = clienta de fuera.</t>
  </si>
  <si>
    <t>Categoría</t>
  </si>
  <si>
    <t>Detalle</t>
  </si>
  <si>
    <t>Precio Local</t>
  </si>
  <si>
    <t>Precio Extranjera</t>
  </si>
  <si>
    <t>Tiempo (min)</t>
  </si>
  <si>
    <t>S01</t>
  </si>
  <si>
    <t>Uñas Naturales</t>
  </si>
  <si>
    <t>Gelish</t>
  </si>
  <si>
    <t>1 Color</t>
  </si>
  <si>
    <t>S02</t>
  </si>
  <si>
    <t>1 Color + french</t>
  </si>
  <si>
    <t>S03</t>
  </si>
  <si>
    <t>Diseño sencillo</t>
  </si>
  <si>
    <t>S04</t>
  </si>
  <si>
    <t>Builder Gel</t>
  </si>
  <si>
    <t>S05</t>
  </si>
  <si>
    <t>S06</t>
  </si>
  <si>
    <t>Diseño libre</t>
  </si>
  <si>
    <t>S07</t>
  </si>
  <si>
    <t>Rubber</t>
  </si>
  <si>
    <t>S08</t>
  </si>
  <si>
    <t>S09</t>
  </si>
  <si>
    <t>S10</t>
  </si>
  <si>
    <t>Kapping de Polygel</t>
  </si>
  <si>
    <t>S11</t>
  </si>
  <si>
    <t>S12</t>
  </si>
  <si>
    <t>Efectos / diseño</t>
  </si>
  <si>
    <t>S13</t>
  </si>
  <si>
    <t>Extensiones</t>
  </si>
  <si>
    <t>Softgel / Gel X</t>
  </si>
  <si>
    <t>S14</t>
  </si>
  <si>
    <t>S15</t>
  </si>
  <si>
    <t>S16</t>
  </si>
  <si>
    <t>Acrílicas / Polygel</t>
  </si>
  <si>
    <t>Largo #1 o #2</t>
  </si>
  <si>
    <t>S17</t>
  </si>
  <si>
    <t>Largo #3</t>
  </si>
  <si>
    <t>S18</t>
  </si>
  <si>
    <t>Desde #4</t>
  </si>
  <si>
    <t>S19</t>
  </si>
  <si>
    <t>Retiros (Mystic)</t>
  </si>
  <si>
    <t>Retiro gelish y rubber</t>
  </si>
  <si>
    <t>Trabajo nuestro</t>
  </si>
  <si>
    <t>S20</t>
  </si>
  <si>
    <t>Retiro builder gel</t>
  </si>
  <si>
    <t>S21</t>
  </si>
  <si>
    <t>Retiro polygel/softgel/acrílicas</t>
  </si>
  <si>
    <t>S22</t>
  </si>
  <si>
    <t>Extra por relieve</t>
  </si>
  <si>
    <t>Por cada relieve</t>
  </si>
  <si>
    <t>S23</t>
  </si>
  <si>
    <t>Retiros (Otro Salón)</t>
  </si>
  <si>
    <t>Sin retoque</t>
  </si>
  <si>
    <t>S24</t>
  </si>
  <si>
    <t>S25</t>
  </si>
  <si>
    <t>S26</t>
  </si>
  <si>
    <t>S27</t>
  </si>
  <si>
    <t>Pies</t>
  </si>
  <si>
    <t>Esmaltado Express</t>
  </si>
  <si>
    <t>Gelish 1 color o french + aceite (sin retiro cutícula)</t>
  </si>
  <si>
    <t>S28</t>
  </si>
  <si>
    <t>Pedicure Ruso</t>
  </si>
  <si>
    <t>Limpieza profunda en seco + gelish + aceite</t>
  </si>
  <si>
    <t>S29</t>
  </si>
  <si>
    <t>Pedicure Mystico</t>
  </si>
  <si>
    <t>Limpieza profunda + remojo + exfoliación + hidratación</t>
  </si>
  <si>
    <t>S30</t>
  </si>
  <si>
    <t>Extras Pies</t>
  </si>
  <si>
    <t>Retiro de esmalte en gel</t>
  </si>
  <si>
    <t>—</t>
  </si>
  <si>
    <t>S31</t>
  </si>
  <si>
    <t>Retiro de acripie</t>
  </si>
  <si>
    <t>S32</t>
  </si>
  <si>
    <t>Acripie en el dedo grande</t>
  </si>
  <si>
    <t>Por cada uno</t>
  </si>
  <si>
    <t>S33</t>
  </si>
  <si>
    <t>Acripie en los dedos pequeños</t>
  </si>
  <si>
    <t>S34</t>
  </si>
  <si>
    <t>Cat eye, polvos de efecto, diseño</t>
  </si>
  <si>
    <t>Adicional</t>
  </si>
  <si>
    <t>Manicuristas</t>
  </si>
  <si>
    <t>Edita las % de comisión y sueldo fijo cuando cambien</t>
  </si>
  <si>
    <t>% Manicurista</t>
  </si>
  <si>
    <t>% Empresa</t>
  </si>
  <si>
    <t>% Admin</t>
  </si>
  <si>
    <t>Sueldo Fijo Semanal</t>
  </si>
  <si>
    <t>Activa</t>
  </si>
  <si>
    <t>M01</t>
  </si>
  <si>
    <t>Carolina (co-owner)</t>
  </si>
  <si>
    <t>Sí</t>
  </si>
  <si>
    <t>Co-owner. % alta porque es socia.</t>
  </si>
  <si>
    <t>M02</t>
  </si>
  <si>
    <t>Monse</t>
  </si>
  <si>
    <t>Esquema estándar.</t>
  </si>
  <si>
    <t>M03</t>
  </si>
  <si>
    <t>Manicurista 3 — Modelo A</t>
  </si>
  <si>
    <t>Mismo esquema que Monse (sin sueldo fijo).</t>
  </si>
  <si>
    <t>M04</t>
  </si>
  <si>
    <t>Manicurista 3 — Modelo B</t>
  </si>
  <si>
    <t>No</t>
  </si>
  <si>
    <t>Sueldo fijo $1,200/semana + 25% comisión. Activa solo una de las dos.</t>
  </si>
  <si>
    <t>Verificación suma:</t>
  </si>
  <si>
    <t>Compras e inversión</t>
  </si>
  <si>
    <t>Gastos que restan del fondo de empresa (productos, herramientas, marketing, etc.)</t>
  </si>
  <si>
    <t>Concepto</t>
  </si>
  <si>
    <t>Monto</t>
  </si>
  <si>
    <t>Proveedor</t>
  </si>
  <si>
    <t>Quien compra</t>
  </si>
  <si>
    <t>CO001</t>
  </si>
  <si>
    <t>CO002</t>
  </si>
  <si>
    <t>CO003</t>
  </si>
  <si>
    <t>Liquidaciones del periodo</t>
  </si>
  <si>
    <t>Cuánto le toca a cada manicurista en el mes seleccionado en Configuración</t>
  </si>
  <si>
    <t>Mes en curso:</t>
  </si>
  <si>
    <t># Citas</t>
  </si>
  <si>
    <t>Total cobrado servicios</t>
  </si>
  <si>
    <t>Comisiones</t>
  </si>
  <si>
    <t>Propinas</t>
  </si>
  <si>
    <t>Sueldo fijo (mes)</t>
  </si>
  <si>
    <t>TOTAL A PAGAR</t>
  </si>
  <si>
    <t>TOTAL</t>
  </si>
  <si>
    <t>Panel de configuración</t>
  </si>
  <si>
    <t>Parámetro</t>
  </si>
  <si>
    <t>Valor</t>
  </si>
  <si>
    <t>Descripción</t>
  </si>
  <si>
    <t>Nombre del estudio</t>
  </si>
  <si>
    <t>Nombre que aparece en reportes</t>
  </si>
  <si>
    <t>Ubicación</t>
  </si>
  <si>
    <t>Playa del Carmen, México</t>
  </si>
  <si>
    <t>Solo informativo</t>
  </si>
  <si>
    <t>Moneda</t>
  </si>
  <si>
    <t>MXN</t>
  </si>
  <si>
    <t>Pesos mexicanos</t>
  </si>
  <si>
    <t>Año fiscal en curso</t>
  </si>
  <si>
    <t>Se usa en el dashboard</t>
  </si>
  <si>
    <t>Mes en curso</t>
  </si>
  <si>
    <t>1-12. Se usa en el dashboard</t>
  </si>
  <si>
    <t>Cuenta principal Calendar</t>
  </si>
  <si>
    <t>jgchavezpanduro@gmail.com</t>
  </si>
  <si>
    <t>Calendario donde se crean las citas</t>
  </si>
  <si>
    <t>Compartido con</t>
  </si>
  <si>
    <t>27supercaro@gmail.com</t>
  </si>
  <si>
    <t>Co-owner que también ve la agenda</t>
  </si>
  <si>
    <t>% Propina al manicurista</t>
  </si>
  <si>
    <t>1.0 = 100% de la propina va a la manicurista</t>
  </si>
  <si>
    <t>Comisiones aplican sobre</t>
  </si>
  <si>
    <t>Subtotal - Descuento</t>
  </si>
  <si>
    <t>Base de cálculo de comisiones (sin propina)</t>
  </si>
  <si>
    <t>Cómo funciona</t>
  </si>
  <si>
    <t>1. Cada vez que registres una cita en la hoja 'Citas', el sistema calcula automáticamente:</t>
  </si>
  <si>
    <t xml:space="preserve">   • El precio del servicio según si la clienta es local o extranjera</t>
  </si>
  <si>
    <t xml:space="preserve">   • Las comisiones según la manicurista que la atendió</t>
  </si>
  <si>
    <t xml:space="preserve">   • Lo que se le debe a la manicurista, a la empresa y a admin (tú)</t>
  </si>
  <si>
    <t>2. La hoja 'Liquidaciones' resume cuánto pagar a cada manicurista en el periodo.</t>
  </si>
  <si>
    <t>3. La hoja 'Compras' registra todos los gastos. Restan del fondo de empresa.</t>
  </si>
  <si>
    <t>4. La hoja 'Dashboard' muestra los KPIs del mes seleccionado arriba.</t>
  </si>
  <si>
    <t>5. Las hojas 'Servicios' y 'Manicuristas' son catálogos. Edítalos cuando cambien precios o entre/salga personal.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</si>
</sst>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 &quot;MXN&quot;"/>
    <numFmt numFmtId="165" formatCode="YYYY-MM-DD"/>
    <numFmt numFmtId="166" formatCode="HH:MM"/>
    <numFmt numFmtId="167" formatCode="DD-MMM"/>
  </numFmts>
  <fonts count="20">
    <font>
      <sz val="11.0"/>
      <color theme="1"/>
      <name val="Calibri"/>
      <scheme val="minor"/>
    </font>
    <font>
      <b/>
      <sz val="24.0"/>
      <color rgb="FF5B2A8C"/>
      <name val="Calibri"/>
    </font>
    <font>
      <i/>
      <sz val="14.0"/>
      <color rgb="FF8E44C9"/>
      <name val="Calibri"/>
    </font>
    <font>
      <b/>
      <color theme="1"/>
      <name val="Calibri"/>
      <scheme val="minor"/>
    </font>
    <font>
      <sz val="11.0"/>
      <color theme="1"/>
      <name val="Calibri"/>
    </font>
    <font>
      <b/>
      <sz val="10.0"/>
      <color rgb="FF2B1B3D"/>
      <name val="Calibri"/>
    </font>
    <font/>
    <font>
      <b/>
      <sz val="14.0"/>
      <color rgb="FF5B2A8C"/>
      <name val="Calibri"/>
    </font>
    <font>
      <b/>
      <sz val="11.0"/>
      <color rgb="FFFFFFFF"/>
      <name val="Calibri"/>
    </font>
    <font>
      <b/>
      <color rgb="FF2B1B3D"/>
      <name val="Calibri"/>
      <scheme val="minor"/>
    </font>
    <font>
      <b/>
      <color rgb="FF5B2A8C"/>
      <name val="Calibri"/>
      <scheme val="minor"/>
    </font>
    <font>
      <b/>
      <sz val="18.0"/>
      <color rgb="FF5B2A8C"/>
      <name val="Calibri"/>
    </font>
    <font>
      <i/>
      <sz val="12.0"/>
      <color rgb="FF8E44C9"/>
      <name val="Calibri"/>
    </font>
    <font>
      <i/>
      <color rgb="FF555555"/>
      <name val="Calibri"/>
      <scheme val="minor"/>
    </font>
    <font>
      <i/>
      <sz val="10.0"/>
      <color rgb="FF666666"/>
      <name val="Calibri"/>
      <scheme val="minor"/>
    </font>
    <font>
      <i/>
      <color rgb="FF666666"/>
      <name val="Calibri"/>
      <scheme val="minor"/>
    </font>
    <font>
      <b/>
      <i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0.0"/>
      <color rgb="FF2B1B3D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0E6FA"/>
        <bgColor rgb="FFF0E6FA"/>
      </patternFill>
    </fill>
    <fill>
      <patternFill patternType="solid">
        <fgColor rgb="FFFFFFFF"/>
        <bgColor rgb="FFFFFFFF"/>
      </patternFill>
    </fill>
    <fill>
      <patternFill patternType="solid">
        <fgColor rgb="FF5B2A8C"/>
        <bgColor rgb="FF5B2A8C"/>
      </patternFill>
    </fill>
    <fill>
      <patternFill patternType="solid">
        <fgColor rgb="FFF5F5F7"/>
        <bgColor rgb="FFF5F5F7"/>
      </patternFill>
    </fill>
  </fills>
  <borders count="9">
    <border/>
    <border>
      <left style="thin">
        <color rgb="FFD5C9E5"/>
      </left>
      <top style="thin">
        <color rgb="FFD5C9E5"/>
      </top>
      <bottom style="thin">
        <color rgb="FFD5C9E5"/>
      </bottom>
    </border>
    <border>
      <right style="thin">
        <color rgb="FFD5C9E5"/>
      </right>
      <top style="thin">
        <color rgb="FFD5C9E5"/>
      </top>
      <bottom style="thin">
        <color rgb="FFD5C9E5"/>
      </bottom>
    </border>
    <border>
      <left style="thin">
        <color rgb="FFD5C9E5"/>
      </left>
      <top style="thin">
        <color rgb="FFD5C9E5"/>
      </top>
    </border>
    <border>
      <right style="thin">
        <color rgb="FFD5C9E5"/>
      </right>
      <top style="thin">
        <color rgb="FFD5C9E5"/>
      </top>
    </border>
    <border>
      <left style="thin">
        <color rgb="FFD5C9E5"/>
      </left>
      <bottom style="thin">
        <color rgb="FFD5C9E5"/>
      </bottom>
    </border>
    <border>
      <right style="thin">
        <color rgb="FFD5C9E5"/>
      </right>
      <bottom style="thin">
        <color rgb="FFD5C9E5"/>
      </bottom>
    </border>
    <border>
      <left style="thin">
        <color rgb="FFD5C9E5"/>
      </left>
      <right style="thin">
        <color rgb="FFD5C9E5"/>
      </right>
      <top style="thin">
        <color rgb="FFD5C9E5"/>
      </top>
      <bottom style="thin">
        <color rgb="FFD5C9E5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3" fontId="7" numFmtId="1" xfId="0" applyAlignment="1" applyBorder="1" applyFill="1" applyFont="1" applyNumberFormat="1">
      <alignment horizontal="center" vertical="center"/>
    </xf>
    <xf borderId="4" fillId="0" fontId="6" numFmtId="0" xfId="0" applyBorder="1" applyFont="1"/>
    <xf borderId="3" fillId="3" fontId="7" numFmtId="164" xfId="0" applyAlignment="1" applyBorder="1" applyFont="1" applyNumberForma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0" fillId="0" fontId="7" numFmtId="0" xfId="0" applyFont="1"/>
    <xf borderId="7" fillId="4" fontId="8" numFmtId="0" xfId="0" applyAlignment="1" applyBorder="1" applyFill="1" applyFont="1">
      <alignment horizontal="center" shrinkToFit="0" vertical="center" wrapText="1"/>
    </xf>
    <xf borderId="7" fillId="2" fontId="9" numFmtId="0" xfId="0" applyAlignment="1" applyBorder="1" applyFont="1">
      <alignment horizontal="left" vertical="center"/>
    </xf>
    <xf borderId="7" fillId="0" fontId="10" numFmtId="164" xfId="0" applyAlignment="1" applyBorder="1" applyFont="1" applyNumberFormat="1">
      <alignment horizontal="right" vertical="center"/>
    </xf>
    <xf borderId="7" fillId="0" fontId="10" numFmtId="1" xfId="0" applyAlignment="1" applyBorder="1" applyFont="1" applyNumberFormat="1">
      <alignment horizontal="right" vertical="center"/>
    </xf>
    <xf borderId="0" fillId="0" fontId="11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7" fillId="0" fontId="4" numFmtId="0" xfId="0" applyAlignment="1" applyBorder="1" applyFont="1">
      <alignment vertical="center"/>
    </xf>
    <xf borderId="7" fillId="0" fontId="4" numFmtId="165" xfId="0" applyAlignment="1" applyBorder="1" applyFont="1" applyNumberFormat="1">
      <alignment horizontal="center" vertical="center"/>
    </xf>
    <xf borderId="7" fillId="0" fontId="4" numFmtId="166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center" vertical="center"/>
    </xf>
    <xf borderId="7" fillId="5" fontId="13" numFmtId="0" xfId="0" applyAlignment="1" applyBorder="1" applyFill="1" applyFont="1">
      <alignment vertical="center"/>
    </xf>
    <xf borderId="7" fillId="5" fontId="13" numFmtId="164" xfId="0" applyAlignment="1" applyBorder="1" applyFont="1" applyNumberFormat="1">
      <alignment horizontal="right" vertical="center"/>
    </xf>
    <xf borderId="7" fillId="0" fontId="4" numFmtId="164" xfId="0" applyAlignment="1" applyBorder="1" applyFont="1" applyNumberFormat="1">
      <alignment horizontal="right" vertical="center"/>
    </xf>
    <xf borderId="7" fillId="5" fontId="13" numFmtId="9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horizontal="left" vertical="center"/>
    </xf>
    <xf borderId="7" fillId="0" fontId="4" numFmtId="167" xfId="0" applyAlignment="1" applyBorder="1" applyFont="1" applyNumberFormat="1">
      <alignment horizontal="left" vertical="center"/>
    </xf>
    <xf borderId="7" fillId="0" fontId="10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left" vertical="center"/>
    </xf>
    <xf borderId="7" fillId="0" fontId="4" numFmtId="9" xfId="0" applyAlignment="1" applyBorder="1" applyFont="1" applyNumberFormat="1">
      <alignment horizontal="center" vertical="center"/>
    </xf>
    <xf borderId="7" fillId="0" fontId="14" numFmtId="0" xfId="0" applyAlignment="1" applyBorder="1" applyFont="1">
      <alignment shrinkToFit="0" vertical="center" wrapText="1"/>
    </xf>
    <xf borderId="0" fillId="0" fontId="15" numFmtId="9" xfId="0" applyFont="1" applyNumberFormat="1"/>
    <xf borderId="0" fillId="0" fontId="16" numFmtId="0" xfId="0" applyFont="1"/>
    <xf borderId="0" fillId="0" fontId="17" numFmtId="0" xfId="0" applyFont="1"/>
    <xf borderId="7" fillId="0" fontId="3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center" readingOrder="0" vertical="center"/>
    </xf>
    <xf borderId="8" fillId="4" fontId="18" numFmtId="0" xfId="0" applyBorder="1" applyFont="1"/>
    <xf borderId="7" fillId="4" fontId="18" numFmtId="0" xfId="0" applyAlignment="1" applyBorder="1" applyFont="1">
      <alignment horizontal="center" vertical="center"/>
    </xf>
    <xf borderId="7" fillId="4" fontId="18" numFmtId="164" xfId="0" applyAlignment="1" applyBorder="1" applyFont="1" applyNumberFormat="1">
      <alignment horizontal="right" vertical="center"/>
    </xf>
    <xf borderId="7" fillId="2" fontId="9" numFmtId="0" xfId="0" applyBorder="1" applyFont="1"/>
    <xf borderId="7" fillId="0" fontId="4" numFmtId="0" xfId="0" applyAlignment="1" applyBorder="1" applyFont="1">
      <alignment horizontal="center"/>
    </xf>
    <xf borderId="7" fillId="0" fontId="4" numFmtId="9" xfId="0" applyAlignment="1" applyBorder="1" applyFont="1" applyNumberFormat="1">
      <alignment horizontal="center"/>
    </xf>
    <xf borderId="0" fillId="0" fontId="7" numFmtId="0" xfId="0" applyAlignment="1" applyFont="1">
      <alignment horizontal="left" vertical="center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2.0"/>
    <col customWidth="1" min="4" max="4" width="22.0"/>
    <col customWidth="1" min="5" max="5" width="12.0"/>
    <col customWidth="1" min="6" max="6" width="22.0"/>
    <col customWidth="1" min="7" max="7" width="12.0"/>
    <col customWidth="1" min="8" max="8" width="22.0"/>
    <col customWidth="1" min="9" max="9" width="26.0"/>
    <col customWidth="1" min="10" max="10" width="18.0"/>
    <col customWidth="1" min="11" max="26" width="8.71"/>
  </cols>
  <sheetData>
    <row r="1" ht="7.5" customHeight="1"/>
    <row r="2">
      <c r="B2" s="1" t="s">
        <v>0</v>
      </c>
    </row>
    <row r="3">
      <c r="B3" s="2" t="s">
        <v>1</v>
      </c>
    </row>
    <row r="5">
      <c r="B5" s="3" t="s">
        <v>2</v>
      </c>
      <c r="C5" s="4">
        <f>'Configuración'!C10</f>
        <v>4</v>
      </c>
      <c r="D5" s="3" t="s">
        <v>3</v>
      </c>
      <c r="E5" s="4">
        <f>'Configuración'!C9</f>
        <v>2026</v>
      </c>
    </row>
    <row r="7" ht="21.75" customHeight="1">
      <c r="B7" s="5" t="s">
        <v>4</v>
      </c>
      <c r="C7" s="6"/>
      <c r="D7" s="5" t="s">
        <v>5</v>
      </c>
      <c r="E7" s="6"/>
      <c r="F7" s="5" t="s">
        <v>6</v>
      </c>
      <c r="G7" s="6"/>
      <c r="H7" s="5" t="s">
        <v>7</v>
      </c>
      <c r="I7" s="6"/>
    </row>
    <row r="8" ht="24.0" customHeight="1">
      <c r="B8" s="7">
        <f>SUMPRODUCT((MONTH(Citas!C6:C205)=$C$5)*(YEAR(Citas!C6:C205)=$E$5)*(Citas!U6:U205="Completada"))</f>
        <v>0</v>
      </c>
      <c r="C8" s="8"/>
      <c r="D8" s="9">
        <f>SUMPRODUCT((MONTH(Citas!C6:C205)=$C$5)*(YEAR(Citas!C6:C205)=$E$5)*(Citas!U6:U205="Completada")*Citas!R6:R205)</f>
        <v>0</v>
      </c>
      <c r="E8" s="8"/>
      <c r="F8" s="9">
        <f>SUMPRODUCT((MONTH(Citas!C6:C205)=$C$5)*(YEAR(Citas!C6:C205)=$E$5)*(Citas!U6:U205="Completada")*(Citas!Z6:Z205+Citas!P6:P205))</f>
        <v>0</v>
      </c>
      <c r="G8" s="8"/>
      <c r="H8" s="9">
        <f>SUMIFS(Compras!F6:F105,Compras!C6:C105,"&gt;="&amp;DATE($E$5,$C$5,1),Compras!C6:C105,"&lt;"&amp;DATE($E$5,$C$5+1,1))</f>
        <v>0</v>
      </c>
      <c r="I8" s="8"/>
    </row>
    <row r="9" ht="12.0" customHeight="1">
      <c r="B9" s="10"/>
      <c r="C9" s="11"/>
      <c r="D9" s="10"/>
      <c r="E9" s="11"/>
      <c r="F9" s="10"/>
      <c r="G9" s="11"/>
      <c r="H9" s="10"/>
      <c r="I9" s="11"/>
    </row>
    <row r="11" ht="21.75" customHeight="1">
      <c r="B11" s="5" t="s">
        <v>8</v>
      </c>
      <c r="C11" s="6"/>
      <c r="D11" s="5" t="s">
        <v>9</v>
      </c>
      <c r="E11" s="6"/>
      <c r="F11" s="5" t="s">
        <v>10</v>
      </c>
      <c r="G11" s="6"/>
      <c r="H11" s="5" t="s">
        <v>11</v>
      </c>
      <c r="I11" s="6"/>
    </row>
    <row r="12" ht="24.0" customHeight="1">
      <c r="B12" s="9">
        <f>SUMPRODUCT((MONTH(Citas!C6:C205)=$C$5)*(YEAR(Citas!C6:C205)=$E$5)*(Citas!U6:U205="Completada")*Citas!AA6:AA205)</f>
        <v>0</v>
      </c>
      <c r="C12" s="8"/>
      <c r="D12" s="9">
        <f>SUMPRODUCT((MONTH(Citas!C6:C205)=$C$5)*(YEAR(Citas!C6:C205)=$E$5)*(Citas!U6:U205="Completada")*Citas!AB6:AB205)</f>
        <v>0</v>
      </c>
      <c r="E12" s="8"/>
      <c r="F12" s="9">
        <f>SUMPRODUCT((MONTH(Citas!C6:C205)=$C$5)*(YEAR(Citas!C6:C205)=$E$5)*(Citas!U6:U205="Completada")*Citas!AA6:AA205) - SUMIFS(Compras!F6:F105,Compras!C6:C105,"&gt;="&amp;DATE($E$5,$C$5,1),Compras!C6:C105,"&lt;"&amp;DATE($E$5,$C$5+1,1))</f>
        <v>0</v>
      </c>
      <c r="G12" s="8"/>
      <c r="H12" s="9">
        <f>SUMPRODUCT((MONTH(Citas!C6:C205)=$C$5)*(YEAR(Citas!C6:C205)=$E$5)*(Citas!U6:U205="Completada")*Citas!AB6:AB205)</f>
        <v>0</v>
      </c>
      <c r="I12" s="8"/>
    </row>
    <row r="13" ht="12.0" customHeight="1">
      <c r="B13" s="10"/>
      <c r="C13" s="11"/>
      <c r="D13" s="10"/>
      <c r="E13" s="11"/>
      <c r="F13" s="10"/>
      <c r="G13" s="11"/>
      <c r="H13" s="10"/>
      <c r="I13" s="11"/>
    </row>
    <row r="16">
      <c r="B16" s="12" t="s">
        <v>12</v>
      </c>
      <c r="I16" s="12" t="s">
        <v>13</v>
      </c>
    </row>
    <row r="18">
      <c r="B18" s="13" t="s">
        <v>14</v>
      </c>
      <c r="C18" s="13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  <c r="I18" s="14" t="s">
        <v>20</v>
      </c>
      <c r="J18" s="15">
        <f>IFERROR(D8/C8,0)</f>
        <v>0</v>
      </c>
    </row>
    <row r="19">
      <c r="I19" s="14" t="s">
        <v>21</v>
      </c>
      <c r="J19" s="15">
        <f>SUMPRODUCT((MONTH(Citas!C6:C205)=$C$5)*(YEAR(Citas!C6:C205)=$E$5)*(Citas!U6:U205="Completada")*Citas!P6:P205)</f>
        <v>0</v>
      </c>
    </row>
    <row r="20">
      <c r="I20" s="14" t="s">
        <v>22</v>
      </c>
      <c r="J20" s="15">
        <f>SUMPRODUCT((MONTH(Citas!C6:C205)=$C$5)*(YEAR(Citas!C6:C205)=$E$5)*(Citas!U6:U205="Completada")*Citas!O6:O205)</f>
        <v>0</v>
      </c>
    </row>
    <row r="21" ht="15.75" customHeight="1">
      <c r="I21" s="14" t="s">
        <v>23</v>
      </c>
      <c r="J21" s="16">
        <f>SUMPRODUCT((MONTH(Citas!C6:C205)=$C$5)*(YEAR(Citas!C6:C205)=$E$5)*(Citas!U6:U205="Cancelada"))</f>
        <v>0</v>
      </c>
    </row>
    <row r="22" ht="15.75" customHeight="1">
      <c r="I22" s="14" t="s">
        <v>24</v>
      </c>
      <c r="J22" s="16">
        <f>SUMPRODUCT((MONTH(Citas!C6:C205)=$C$5)*(YEAR(Citas!C6:C205)=$E$5)*(Citas!U6:U205="No-show"))</f>
        <v>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7:C7"/>
    <mergeCell ref="D7:E7"/>
    <mergeCell ref="F7:G7"/>
    <mergeCell ref="H7:I7"/>
    <mergeCell ref="D8:E9"/>
    <mergeCell ref="F8:G9"/>
    <mergeCell ref="H8:I9"/>
    <mergeCell ref="F12:G13"/>
    <mergeCell ref="H12:I13"/>
    <mergeCell ref="B8:C9"/>
    <mergeCell ref="B11:C11"/>
    <mergeCell ref="D11:E11"/>
    <mergeCell ref="F11:G11"/>
    <mergeCell ref="H11:I11"/>
    <mergeCell ref="B12:C13"/>
    <mergeCell ref="D12:E1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/>
  <cols>
    <col customWidth="1" min="1" max="2" width="8.0"/>
    <col customWidth="1" min="3" max="3" width="12.0"/>
    <col customWidth="1" min="4" max="4" width="11.0"/>
    <col customWidth="1" min="5" max="5" width="12.0"/>
    <col customWidth="1" min="6" max="6" width="24.0"/>
    <col customWidth="1" min="7" max="7" width="14.0"/>
    <col customWidth="1" min="8" max="8" width="26.0"/>
    <col customWidth="1" min="9" max="9" width="22.0"/>
    <col customWidth="1" min="10" max="10" width="26.0"/>
    <col customWidth="1" min="11" max="11" width="22.0"/>
    <col customWidth="1" min="12" max="12" width="18.0"/>
    <col customWidth="1" min="13" max="13" width="14.0"/>
    <col customWidth="1" min="14" max="14" width="16.0"/>
    <col customWidth="1" min="15" max="15" width="14.0"/>
    <col customWidth="1" min="16" max="17" width="11.0"/>
    <col customWidth="1" min="18" max="21" width="14.0"/>
    <col customWidth="1" min="22" max="22" width="25.0"/>
    <col customWidth="1" min="23" max="23" width="16.0"/>
    <col customWidth="1" min="24" max="28" width="14.0"/>
    <col customWidth="1" min="29" max="29" width="18.0"/>
    <col customWidth="1" min="30" max="30" width="30.0"/>
  </cols>
  <sheetData>
    <row r="2">
      <c r="B2" s="17" t="s">
        <v>25</v>
      </c>
    </row>
    <row r="3">
      <c r="B3" s="18" t="s">
        <v>26</v>
      </c>
    </row>
    <row r="5">
      <c r="B5" s="13" t="s">
        <v>27</v>
      </c>
      <c r="C5" s="13" t="s">
        <v>14</v>
      </c>
      <c r="D5" s="13" t="s">
        <v>28</v>
      </c>
      <c r="E5" s="13" t="s">
        <v>29</v>
      </c>
      <c r="F5" s="13" t="s">
        <v>16</v>
      </c>
      <c r="G5" s="13" t="s">
        <v>30</v>
      </c>
      <c r="H5" s="13" t="s">
        <v>17</v>
      </c>
      <c r="I5" s="13" t="s">
        <v>31</v>
      </c>
      <c r="J5" s="13" t="s">
        <v>32</v>
      </c>
      <c r="K5" s="13" t="s">
        <v>33</v>
      </c>
      <c r="L5" s="13" t="s">
        <v>34</v>
      </c>
      <c r="M5" s="13" t="s">
        <v>35</v>
      </c>
      <c r="N5" s="13" t="s">
        <v>36</v>
      </c>
      <c r="O5" s="13" t="s">
        <v>37</v>
      </c>
      <c r="P5" s="13" t="s">
        <v>38</v>
      </c>
      <c r="Q5" s="13" t="s">
        <v>39</v>
      </c>
      <c r="R5" s="13" t="s">
        <v>40</v>
      </c>
      <c r="S5" s="13" t="s">
        <v>41</v>
      </c>
      <c r="T5" s="13" t="s">
        <v>42</v>
      </c>
      <c r="U5" s="13" t="s">
        <v>19</v>
      </c>
      <c r="V5" s="13" t="s">
        <v>43</v>
      </c>
      <c r="W5" s="13" t="s">
        <v>44</v>
      </c>
      <c r="X5" s="13" t="s">
        <v>45</v>
      </c>
      <c r="Y5" s="13" t="s">
        <v>46</v>
      </c>
      <c r="Z5" s="13" t="s">
        <v>47</v>
      </c>
      <c r="AA5" s="13" t="s">
        <v>48</v>
      </c>
      <c r="AB5" s="13" t="s">
        <v>49</v>
      </c>
      <c r="AC5" s="13" t="s">
        <v>50</v>
      </c>
      <c r="AD5" s="13" t="s">
        <v>51</v>
      </c>
    </row>
    <row r="6">
      <c r="B6" s="19" t="s">
        <v>52</v>
      </c>
      <c r="C6" s="20"/>
      <c r="D6" s="21"/>
      <c r="E6" s="22"/>
      <c r="F6" s="19"/>
      <c r="G6" s="23" t="str">
        <f t="array" ref="G6">IF(F6="","",IFERROR(INDEX(Clientas!$F$6:$F$55,MATCH(F6,Clientas!$C$6:$C$55,0)),""))</f>
        <v/>
      </c>
      <c r="H6" s="19"/>
      <c r="I6" s="19"/>
      <c r="J6" s="19"/>
      <c r="K6" s="19"/>
      <c r="L6" s="24">
        <f>IF(OR(I6="",J6="",G6=""),0,IF(G6="Local",SUMIFS(Servicios!$F$6:$F$39,Servicios!$D$6:$D$39,I6,Servicios!$E$6:$E$39,J6),SUMIFS(Servicios!$G$6:$G$39,Servicios!$D$6:$D$39,I6,Servicios!$E$6:$E$39,J6)))</f>
        <v>0</v>
      </c>
      <c r="M6" s="25"/>
      <c r="N6" s="24">
        <f t="shared" ref="N6:N205" si="1">N(L6)+N(M6)</f>
        <v>0</v>
      </c>
      <c r="O6" s="25"/>
      <c r="P6" s="25"/>
      <c r="Q6" s="25"/>
      <c r="R6" s="24">
        <f t="shared" ref="R6:R205" si="2">N6-N(O6)+N(P6)</f>
        <v>0</v>
      </c>
      <c r="S6" s="24">
        <f t="shared" ref="S6:S205" si="3">R6-N(Q6)</f>
        <v>0</v>
      </c>
      <c r="T6" s="19" t="s">
        <v>53</v>
      </c>
      <c r="U6" s="19" t="s">
        <v>54</v>
      </c>
      <c r="V6" s="19" t="s">
        <v>55</v>
      </c>
      <c r="W6" s="26" t="str">
        <f t="array" ref="W6">IF(H6="","",IFERROR(INDEX(Manicuristas!$D$6:$D$9,MATCH(H6,Manicuristas!$C$6:$C$9,0)),0))</f>
        <v/>
      </c>
      <c r="X6" s="26" t="str">
        <f t="array" ref="X6">IF(H6="","",IFERROR(INDEX(Manicuristas!$E$6:$E$9,MATCH(H6,Manicuristas!$C$6:$C$9,0)),0))</f>
        <v/>
      </c>
      <c r="Y6" s="26" t="str">
        <f t="array" ref="Y6">IF(H6="","",IFERROR(INDEX(Manicuristas!$F$6:$F$9,MATCH(H6,Manicuristas!$C$6:$C$9,0)),0))</f>
        <v/>
      </c>
      <c r="Z6" s="24">
        <f t="shared" ref="Z6:Z205" si="4">IFERROR((N6-N(O6))*W6,0)</f>
        <v>0</v>
      </c>
      <c r="AA6" s="24">
        <f t="shared" ref="AA6:AA205" si="5">IFERROR((N6-N(O6))*X6,0)</f>
        <v>0</v>
      </c>
      <c r="AB6" s="24">
        <f t="shared" ref="AB6:AB205" si="6">IFERROR((N6-N(O6))*Y6,0)</f>
        <v>0</v>
      </c>
      <c r="AC6" s="24">
        <f t="shared" ref="AC6:AC205" si="7">Z6+N(P6)</f>
        <v>0</v>
      </c>
      <c r="AD6" s="19"/>
    </row>
    <row r="7">
      <c r="B7" s="19" t="s">
        <v>56</v>
      </c>
      <c r="C7" s="20"/>
      <c r="D7" s="21"/>
      <c r="E7" s="22"/>
      <c r="F7" s="19"/>
      <c r="G7" s="23" t="str">
        <f t="array" ref="G7">IF(F7="","",IFERROR(INDEX(Clientas!$F$6:$F$55,MATCH(F7,Clientas!$C$6:$C$55,0)),""))</f>
        <v/>
      </c>
      <c r="H7" s="19"/>
      <c r="I7" s="19"/>
      <c r="J7" s="19"/>
      <c r="K7" s="19"/>
      <c r="L7" s="24">
        <f>IF(OR(I7="",J7="",G7=""),0,IF(G7="Local",SUMIFS(Servicios!$F$6:$F$39,Servicios!$D$6:$D$39,I7,Servicios!$E$6:$E$39,J7),SUMIFS(Servicios!$G$6:$G$39,Servicios!$D$6:$D$39,I7,Servicios!$E$6:$E$39,J7)))</f>
        <v>0</v>
      </c>
      <c r="M7" s="25"/>
      <c r="N7" s="24">
        <f t="shared" si="1"/>
        <v>0</v>
      </c>
      <c r="O7" s="25"/>
      <c r="P7" s="25"/>
      <c r="Q7" s="25"/>
      <c r="R7" s="24">
        <f t="shared" si="2"/>
        <v>0</v>
      </c>
      <c r="S7" s="24">
        <f t="shared" si="3"/>
        <v>0</v>
      </c>
      <c r="T7" s="19" t="s">
        <v>57</v>
      </c>
      <c r="U7" s="19" t="s">
        <v>54</v>
      </c>
      <c r="V7" s="19"/>
      <c r="W7" s="26" t="str">
        <f t="array" ref="W7">IF(H7="","",IFERROR(INDEX(Manicuristas!$D$6:$D$9,MATCH(H7,Manicuristas!$C$6:$C$9,0)),0))</f>
        <v/>
      </c>
      <c r="X7" s="26" t="str">
        <f t="array" ref="X7">IF(H7="","",IFERROR(INDEX(Manicuristas!$E$6:$E$9,MATCH(H7,Manicuristas!$C$6:$C$9,0)),0))</f>
        <v/>
      </c>
      <c r="Y7" s="26" t="str">
        <f t="array" ref="Y7">IF(H7="","",IFERROR(INDEX(Manicuristas!$F$6:$F$9,MATCH(H7,Manicuristas!$C$6:$C$9,0)),0))</f>
        <v/>
      </c>
      <c r="Z7" s="24">
        <f t="shared" si="4"/>
        <v>0</v>
      </c>
      <c r="AA7" s="24">
        <f t="shared" si="5"/>
        <v>0</v>
      </c>
      <c r="AB7" s="24">
        <f t="shared" si="6"/>
        <v>0</v>
      </c>
      <c r="AC7" s="24">
        <f t="shared" si="7"/>
        <v>0</v>
      </c>
      <c r="AD7" s="19"/>
    </row>
    <row r="8">
      <c r="B8" s="19" t="s">
        <v>58</v>
      </c>
      <c r="C8" s="20"/>
      <c r="D8" s="21"/>
      <c r="E8" s="22"/>
      <c r="F8" s="19"/>
      <c r="G8" s="23" t="str">
        <f t="array" ref="G8">IF(F8="","",IFERROR(INDEX(Clientas!$F$6:$F$55,MATCH(F8,Clientas!$C$6:$C$55,0)),""))</f>
        <v/>
      </c>
      <c r="H8" s="19"/>
      <c r="I8" s="19"/>
      <c r="J8" s="19"/>
      <c r="K8" s="19"/>
      <c r="L8" s="24">
        <f>IF(OR(I8="",J8="",G8=""),0,IF(G8="Local",SUMIFS(Servicios!$F$6:$F$39,Servicios!$D$6:$D$39,I8,Servicios!$E$6:$E$39,J8),SUMIFS(Servicios!$G$6:$G$39,Servicios!$D$6:$D$39,I8,Servicios!$E$6:$E$39,J8)))</f>
        <v>0</v>
      </c>
      <c r="M8" s="25"/>
      <c r="N8" s="24">
        <f t="shared" si="1"/>
        <v>0</v>
      </c>
      <c r="O8" s="25"/>
      <c r="P8" s="25"/>
      <c r="Q8" s="25"/>
      <c r="R8" s="24">
        <f t="shared" si="2"/>
        <v>0</v>
      </c>
      <c r="S8" s="24">
        <f t="shared" si="3"/>
        <v>0</v>
      </c>
      <c r="T8" s="19" t="s">
        <v>53</v>
      </c>
      <c r="U8" s="19" t="s">
        <v>59</v>
      </c>
      <c r="V8" s="19" t="s">
        <v>60</v>
      </c>
      <c r="W8" s="26" t="str">
        <f t="array" ref="W8">IF(H8="","",IFERROR(INDEX(Manicuristas!$D$6:$D$9,MATCH(H8,Manicuristas!$C$6:$C$9,0)),0))</f>
        <v/>
      </c>
      <c r="X8" s="26" t="str">
        <f t="array" ref="X8">IF(H8="","",IFERROR(INDEX(Manicuristas!$E$6:$E$9,MATCH(H8,Manicuristas!$C$6:$C$9,0)),0))</f>
        <v/>
      </c>
      <c r="Y8" s="26" t="str">
        <f t="array" ref="Y8">IF(H8="","",IFERROR(INDEX(Manicuristas!$F$6:$F$9,MATCH(H8,Manicuristas!$C$6:$C$9,0)),0))</f>
        <v/>
      </c>
      <c r="Z8" s="24">
        <f t="shared" si="4"/>
        <v>0</v>
      </c>
      <c r="AA8" s="24">
        <f t="shared" si="5"/>
        <v>0</v>
      </c>
      <c r="AB8" s="24">
        <f t="shared" si="6"/>
        <v>0</v>
      </c>
      <c r="AC8" s="24">
        <f t="shared" si="7"/>
        <v>0</v>
      </c>
      <c r="AD8" s="19"/>
    </row>
    <row r="9">
      <c r="B9" s="19"/>
      <c r="C9" s="20"/>
      <c r="D9" s="21"/>
      <c r="E9" s="22"/>
      <c r="F9" s="19"/>
      <c r="G9" s="23" t="str">
        <f t="array" ref="G9">IF(F9="","",IFERROR(INDEX(Clientas!$F$6:$F$55,MATCH(F9,Clientas!$C$6:$C$55,0)),""))</f>
        <v/>
      </c>
      <c r="H9" s="19"/>
      <c r="I9" s="27"/>
      <c r="J9" s="19"/>
      <c r="K9" s="19"/>
      <c r="L9" s="24">
        <f>IF(OR(I9="",J9="",G9=""),0,IF(G9="Local",SUMIFS(Servicios!$F$6:$F$39,Servicios!$D$6:$D$39,I9,Servicios!$E$6:$E$39,J9),SUMIFS(Servicios!$G$6:$G$39,Servicios!$D$6:$D$39,I9,Servicios!$E$6:$E$39,J9)))</f>
        <v>0</v>
      </c>
      <c r="M9" s="25"/>
      <c r="N9" s="24">
        <f t="shared" si="1"/>
        <v>0</v>
      </c>
      <c r="O9" s="25"/>
      <c r="P9" s="25"/>
      <c r="Q9" s="25"/>
      <c r="R9" s="24">
        <f t="shared" si="2"/>
        <v>0</v>
      </c>
      <c r="S9" s="24">
        <f t="shared" si="3"/>
        <v>0</v>
      </c>
      <c r="T9" s="19"/>
      <c r="U9" s="19"/>
      <c r="V9" s="19"/>
      <c r="W9" s="26" t="str">
        <f t="array" ref="W9">IF(H9="","",IFERROR(INDEX(Manicuristas!$D$6:$D$9,MATCH(H9,Manicuristas!$C$6:$C$9,0)),0))</f>
        <v/>
      </c>
      <c r="X9" s="26" t="str">
        <f t="array" ref="X9">IF(H9="","",IFERROR(INDEX(Manicuristas!$E$6:$E$9,MATCH(H9,Manicuristas!$C$6:$C$9,0)),0))</f>
        <v/>
      </c>
      <c r="Y9" s="26" t="str">
        <f t="array" ref="Y9">IF(H9="","",IFERROR(INDEX(Manicuristas!$F$6:$F$9,MATCH(H9,Manicuristas!$C$6:$C$9,0)),0))</f>
        <v/>
      </c>
      <c r="Z9" s="24">
        <f t="shared" si="4"/>
        <v>0</v>
      </c>
      <c r="AA9" s="24">
        <f t="shared" si="5"/>
        <v>0</v>
      </c>
      <c r="AB9" s="24">
        <f t="shared" si="6"/>
        <v>0</v>
      </c>
      <c r="AC9" s="24">
        <f t="shared" si="7"/>
        <v>0</v>
      </c>
      <c r="AD9" s="19"/>
    </row>
    <row r="10">
      <c r="B10" s="19"/>
      <c r="C10" s="20"/>
      <c r="D10" s="21"/>
      <c r="E10" s="22"/>
      <c r="F10" s="19"/>
      <c r="G10" s="23" t="str">
        <f t="array" ref="G10">IF(F10="","",IFERROR(INDEX(Clientas!$F$6:$F$55,MATCH(F10,Clientas!$C$6:$C$55,0)),""))</f>
        <v/>
      </c>
      <c r="H10" s="19"/>
      <c r="I10" s="19"/>
      <c r="J10" s="19"/>
      <c r="K10" s="19"/>
      <c r="L10" s="24">
        <f>IF(OR(I10="",J10="",G10=""),0,IF(G10="Local",SUMIFS(Servicios!$F$6:$F$39,Servicios!$D$6:$D$39,I10,Servicios!$E$6:$E$39,J10),SUMIFS(Servicios!$G$6:$G$39,Servicios!$D$6:$D$39,I10,Servicios!$E$6:$E$39,J10)))</f>
        <v>0</v>
      </c>
      <c r="M10" s="25"/>
      <c r="N10" s="24">
        <f t="shared" si="1"/>
        <v>0</v>
      </c>
      <c r="O10" s="25"/>
      <c r="P10" s="25"/>
      <c r="Q10" s="25"/>
      <c r="R10" s="24">
        <f t="shared" si="2"/>
        <v>0</v>
      </c>
      <c r="S10" s="24">
        <f t="shared" si="3"/>
        <v>0</v>
      </c>
      <c r="T10" s="19"/>
      <c r="U10" s="19"/>
      <c r="V10" s="19"/>
      <c r="W10" s="26" t="str">
        <f t="array" ref="W10">IF(H10="","",IFERROR(INDEX(Manicuristas!$D$6:$D$9,MATCH(H10,Manicuristas!$C$6:$C$9,0)),0))</f>
        <v/>
      </c>
      <c r="X10" s="26" t="str">
        <f t="array" ref="X10">IF(H10="","",IFERROR(INDEX(Manicuristas!$E$6:$E$9,MATCH(H10,Manicuristas!$C$6:$C$9,0)),0))</f>
        <v/>
      </c>
      <c r="Y10" s="26" t="str">
        <f t="array" ref="Y10">IF(H10="","",IFERROR(INDEX(Manicuristas!$F$6:$F$9,MATCH(H10,Manicuristas!$C$6:$C$9,0)),0))</f>
        <v/>
      </c>
      <c r="Z10" s="24">
        <f t="shared" si="4"/>
        <v>0</v>
      </c>
      <c r="AA10" s="24">
        <f t="shared" si="5"/>
        <v>0</v>
      </c>
      <c r="AB10" s="24">
        <f t="shared" si="6"/>
        <v>0</v>
      </c>
      <c r="AC10" s="24">
        <f t="shared" si="7"/>
        <v>0</v>
      </c>
      <c r="AD10" s="19"/>
    </row>
    <row r="11">
      <c r="B11" s="19"/>
      <c r="C11" s="20"/>
      <c r="D11" s="21"/>
      <c r="E11" s="22"/>
      <c r="F11" s="19"/>
      <c r="G11" s="23" t="str">
        <f t="array" ref="G11">IF(F11="","",IFERROR(INDEX(Clientas!$F$6:$F$55,MATCH(F11,Clientas!$C$6:$C$55,0)),""))</f>
        <v/>
      </c>
      <c r="H11" s="19"/>
      <c r="I11" s="19"/>
      <c r="J11" s="19"/>
      <c r="K11" s="19"/>
      <c r="L11" s="24">
        <f>IF(OR(I11="",J11="",G11=""),0,IF(G11="Local",SUMIFS(Servicios!$F$6:$F$39,Servicios!$D$6:$D$39,I11,Servicios!$E$6:$E$39,J11),SUMIFS(Servicios!$G$6:$G$39,Servicios!$D$6:$D$39,I11,Servicios!$E$6:$E$39,J11)))</f>
        <v>0</v>
      </c>
      <c r="M11" s="25"/>
      <c r="N11" s="24">
        <f t="shared" si="1"/>
        <v>0</v>
      </c>
      <c r="O11" s="25"/>
      <c r="P11" s="25"/>
      <c r="Q11" s="25"/>
      <c r="R11" s="24">
        <f t="shared" si="2"/>
        <v>0</v>
      </c>
      <c r="S11" s="24">
        <f t="shared" si="3"/>
        <v>0</v>
      </c>
      <c r="T11" s="19"/>
      <c r="U11" s="19"/>
      <c r="V11" s="19"/>
      <c r="W11" s="26" t="str">
        <f t="array" ref="W11">IF(H11="","",IFERROR(INDEX(Manicuristas!$D$6:$D$9,MATCH(H11,Manicuristas!$C$6:$C$9,0)),0))</f>
        <v/>
      </c>
      <c r="X11" s="26" t="str">
        <f t="array" ref="X11">IF(H11="","",IFERROR(INDEX(Manicuristas!$E$6:$E$9,MATCH(H11,Manicuristas!$C$6:$C$9,0)),0))</f>
        <v/>
      </c>
      <c r="Y11" s="26" t="str">
        <f t="array" ref="Y11">IF(H11="","",IFERROR(INDEX(Manicuristas!$F$6:$F$9,MATCH(H11,Manicuristas!$C$6:$C$9,0)),0))</f>
        <v/>
      </c>
      <c r="Z11" s="24">
        <f t="shared" si="4"/>
        <v>0</v>
      </c>
      <c r="AA11" s="24">
        <f t="shared" si="5"/>
        <v>0</v>
      </c>
      <c r="AB11" s="24">
        <f t="shared" si="6"/>
        <v>0</v>
      </c>
      <c r="AC11" s="24">
        <f t="shared" si="7"/>
        <v>0</v>
      </c>
      <c r="AD11" s="19"/>
    </row>
    <row r="12">
      <c r="B12" s="19"/>
      <c r="C12" s="20"/>
      <c r="D12" s="21"/>
      <c r="E12" s="22"/>
      <c r="F12" s="19"/>
      <c r="G12" s="23" t="str">
        <f t="array" ref="G12">IF(F12="","",IFERROR(INDEX(Clientas!$F$6:$F$55,MATCH(F12,Clientas!$C$6:$C$55,0)),""))</f>
        <v/>
      </c>
      <c r="H12" s="19"/>
      <c r="I12" s="19"/>
      <c r="J12" s="19"/>
      <c r="K12" s="19"/>
      <c r="L12" s="24">
        <f>IF(OR(I12="",J12="",G12=""),0,IF(G12="Local",SUMIFS(Servicios!$F$6:$F$39,Servicios!$D$6:$D$39,I12,Servicios!$E$6:$E$39,J12),SUMIFS(Servicios!$G$6:$G$39,Servicios!$D$6:$D$39,I12,Servicios!$E$6:$E$39,J12)))</f>
        <v>0</v>
      </c>
      <c r="M12" s="25"/>
      <c r="N12" s="24">
        <f t="shared" si="1"/>
        <v>0</v>
      </c>
      <c r="O12" s="25"/>
      <c r="P12" s="25"/>
      <c r="Q12" s="25"/>
      <c r="R12" s="24">
        <f t="shared" si="2"/>
        <v>0</v>
      </c>
      <c r="S12" s="24">
        <f t="shared" si="3"/>
        <v>0</v>
      </c>
      <c r="T12" s="19"/>
      <c r="U12" s="19"/>
      <c r="V12" s="19"/>
      <c r="W12" s="26" t="str">
        <f t="array" ref="W12">IF(H12="","",IFERROR(INDEX(Manicuristas!$D$6:$D$9,MATCH(H12,Manicuristas!$C$6:$C$9,0)),0))</f>
        <v/>
      </c>
      <c r="X12" s="26" t="str">
        <f t="array" ref="X12">IF(H12="","",IFERROR(INDEX(Manicuristas!$E$6:$E$9,MATCH(H12,Manicuristas!$C$6:$C$9,0)),0))</f>
        <v/>
      </c>
      <c r="Y12" s="26" t="str">
        <f t="array" ref="Y12">IF(H12="","",IFERROR(INDEX(Manicuristas!$F$6:$F$9,MATCH(H12,Manicuristas!$C$6:$C$9,0)),0))</f>
        <v/>
      </c>
      <c r="Z12" s="24">
        <f t="shared" si="4"/>
        <v>0</v>
      </c>
      <c r="AA12" s="24">
        <f t="shared" si="5"/>
        <v>0</v>
      </c>
      <c r="AB12" s="24">
        <f t="shared" si="6"/>
        <v>0</v>
      </c>
      <c r="AC12" s="24">
        <f t="shared" si="7"/>
        <v>0</v>
      </c>
      <c r="AD12" s="19"/>
    </row>
    <row r="13">
      <c r="B13" s="19"/>
      <c r="C13" s="20"/>
      <c r="D13" s="21"/>
      <c r="E13" s="22"/>
      <c r="F13" s="19"/>
      <c r="G13" s="23" t="str">
        <f t="array" ref="G13">IF(F13="","",IFERROR(INDEX(Clientas!$F$6:$F$55,MATCH(F13,Clientas!$C$6:$C$55,0)),""))</f>
        <v/>
      </c>
      <c r="H13" s="19"/>
      <c r="I13" s="19"/>
      <c r="J13" s="19"/>
      <c r="K13" s="19"/>
      <c r="L13" s="24">
        <f>IF(OR(I13="",J13="",G13=""),0,IF(G13="Local",SUMIFS(Servicios!$F$6:$F$39,Servicios!$D$6:$D$39,I13,Servicios!$E$6:$E$39,J13),SUMIFS(Servicios!$G$6:$G$39,Servicios!$D$6:$D$39,I13,Servicios!$E$6:$E$39,J13)))</f>
        <v>0</v>
      </c>
      <c r="M13" s="25"/>
      <c r="N13" s="24">
        <f t="shared" si="1"/>
        <v>0</v>
      </c>
      <c r="O13" s="25"/>
      <c r="P13" s="25"/>
      <c r="Q13" s="25"/>
      <c r="R13" s="24">
        <f t="shared" si="2"/>
        <v>0</v>
      </c>
      <c r="S13" s="24">
        <f t="shared" si="3"/>
        <v>0</v>
      </c>
      <c r="T13" s="19"/>
      <c r="U13" s="19"/>
      <c r="V13" s="19"/>
      <c r="W13" s="26" t="str">
        <f t="array" ref="W13">IF(H13="","",IFERROR(INDEX(Manicuristas!$D$6:$D$9,MATCH(H13,Manicuristas!$C$6:$C$9,0)),0))</f>
        <v/>
      </c>
      <c r="X13" s="26" t="str">
        <f t="array" ref="X13">IF(H13="","",IFERROR(INDEX(Manicuristas!$E$6:$E$9,MATCH(H13,Manicuristas!$C$6:$C$9,0)),0))</f>
        <v/>
      </c>
      <c r="Y13" s="26" t="str">
        <f t="array" ref="Y13">IF(H13="","",IFERROR(INDEX(Manicuristas!$F$6:$F$9,MATCH(H13,Manicuristas!$C$6:$C$9,0)),0))</f>
        <v/>
      </c>
      <c r="Z13" s="24">
        <f t="shared" si="4"/>
        <v>0</v>
      </c>
      <c r="AA13" s="24">
        <f t="shared" si="5"/>
        <v>0</v>
      </c>
      <c r="AB13" s="24">
        <f t="shared" si="6"/>
        <v>0</v>
      </c>
      <c r="AC13" s="24">
        <f t="shared" si="7"/>
        <v>0</v>
      </c>
      <c r="AD13" s="19"/>
    </row>
    <row r="14">
      <c r="B14" s="19"/>
      <c r="C14" s="20"/>
      <c r="D14" s="21"/>
      <c r="E14" s="22"/>
      <c r="F14" s="19"/>
      <c r="G14" s="23" t="str">
        <f t="array" ref="G14">IF(F14="","",IFERROR(INDEX(Clientas!$F$6:$F$55,MATCH(F14,Clientas!$C$6:$C$55,0)),""))</f>
        <v/>
      </c>
      <c r="H14" s="19"/>
      <c r="I14" s="19"/>
      <c r="J14" s="19"/>
      <c r="K14" s="19"/>
      <c r="L14" s="24">
        <f>IF(OR(I14="",J14="",G14=""),0,IF(G14="Local",SUMIFS(Servicios!$F$6:$F$39,Servicios!$D$6:$D$39,I14,Servicios!$E$6:$E$39,J14),SUMIFS(Servicios!$G$6:$G$39,Servicios!$D$6:$D$39,I14,Servicios!$E$6:$E$39,J14)))</f>
        <v>0</v>
      </c>
      <c r="M14" s="25"/>
      <c r="N14" s="24">
        <f t="shared" si="1"/>
        <v>0</v>
      </c>
      <c r="O14" s="25"/>
      <c r="P14" s="25"/>
      <c r="Q14" s="25"/>
      <c r="R14" s="24">
        <f t="shared" si="2"/>
        <v>0</v>
      </c>
      <c r="S14" s="24">
        <f t="shared" si="3"/>
        <v>0</v>
      </c>
      <c r="T14" s="19"/>
      <c r="U14" s="19"/>
      <c r="V14" s="19"/>
      <c r="W14" s="26" t="str">
        <f t="array" ref="W14">IF(H14="","",IFERROR(INDEX(Manicuristas!$D$6:$D$9,MATCH(H14,Manicuristas!$C$6:$C$9,0)),0))</f>
        <v/>
      </c>
      <c r="X14" s="26" t="str">
        <f t="array" ref="X14">IF(H14="","",IFERROR(INDEX(Manicuristas!$E$6:$E$9,MATCH(H14,Manicuristas!$C$6:$C$9,0)),0))</f>
        <v/>
      </c>
      <c r="Y14" s="26" t="str">
        <f t="array" ref="Y14">IF(H14="","",IFERROR(INDEX(Manicuristas!$F$6:$F$9,MATCH(H14,Manicuristas!$C$6:$C$9,0)),0))</f>
        <v/>
      </c>
      <c r="Z14" s="24">
        <f t="shared" si="4"/>
        <v>0</v>
      </c>
      <c r="AA14" s="24">
        <f t="shared" si="5"/>
        <v>0</v>
      </c>
      <c r="AB14" s="24">
        <f t="shared" si="6"/>
        <v>0</v>
      </c>
      <c r="AC14" s="24">
        <f t="shared" si="7"/>
        <v>0</v>
      </c>
      <c r="AD14" s="19"/>
    </row>
    <row r="15">
      <c r="B15" s="19"/>
      <c r="C15" s="20"/>
      <c r="D15" s="21"/>
      <c r="E15" s="22"/>
      <c r="F15" s="19"/>
      <c r="G15" s="23" t="str">
        <f t="array" ref="G15">IF(F15="","",IFERROR(INDEX(Clientas!$F$6:$F$55,MATCH(F15,Clientas!$C$6:$C$55,0)),""))</f>
        <v/>
      </c>
      <c r="H15" s="19"/>
      <c r="I15" s="19"/>
      <c r="J15" s="19"/>
      <c r="K15" s="19"/>
      <c r="L15" s="24">
        <f>IF(OR(I15="",J15="",G15=""),0,IF(G15="Local",SUMIFS(Servicios!$F$6:$F$39,Servicios!$D$6:$D$39,I15,Servicios!$E$6:$E$39,J15),SUMIFS(Servicios!$G$6:$G$39,Servicios!$D$6:$D$39,I15,Servicios!$E$6:$E$39,J15)))</f>
        <v>0</v>
      </c>
      <c r="M15" s="25"/>
      <c r="N15" s="24">
        <f t="shared" si="1"/>
        <v>0</v>
      </c>
      <c r="O15" s="25"/>
      <c r="P15" s="25"/>
      <c r="Q15" s="25"/>
      <c r="R15" s="24">
        <f t="shared" si="2"/>
        <v>0</v>
      </c>
      <c r="S15" s="24">
        <f t="shared" si="3"/>
        <v>0</v>
      </c>
      <c r="T15" s="19"/>
      <c r="U15" s="19"/>
      <c r="V15" s="19"/>
      <c r="W15" s="26" t="str">
        <f t="array" ref="W15">IF(H15="","",IFERROR(INDEX(Manicuristas!$D$6:$D$9,MATCH(H15,Manicuristas!$C$6:$C$9,0)),0))</f>
        <v/>
      </c>
      <c r="X15" s="26" t="str">
        <f t="array" ref="X15">IF(H15="","",IFERROR(INDEX(Manicuristas!$E$6:$E$9,MATCH(H15,Manicuristas!$C$6:$C$9,0)),0))</f>
        <v/>
      </c>
      <c r="Y15" s="26" t="str">
        <f t="array" ref="Y15">IF(H15="","",IFERROR(INDEX(Manicuristas!$F$6:$F$9,MATCH(H15,Manicuristas!$C$6:$C$9,0)),0))</f>
        <v/>
      </c>
      <c r="Z15" s="24">
        <f t="shared" si="4"/>
        <v>0</v>
      </c>
      <c r="AA15" s="24">
        <f t="shared" si="5"/>
        <v>0</v>
      </c>
      <c r="AB15" s="24">
        <f t="shared" si="6"/>
        <v>0</v>
      </c>
      <c r="AC15" s="24">
        <f t="shared" si="7"/>
        <v>0</v>
      </c>
      <c r="AD15" s="19"/>
    </row>
    <row r="16">
      <c r="B16" s="19"/>
      <c r="C16" s="20"/>
      <c r="D16" s="21"/>
      <c r="E16" s="22"/>
      <c r="F16" s="19"/>
      <c r="G16" s="23" t="str">
        <f t="array" ref="G16">IF(F16="","",IFERROR(INDEX(Clientas!$F$6:$F$55,MATCH(F16,Clientas!$C$6:$C$55,0)),""))</f>
        <v/>
      </c>
      <c r="H16" s="19"/>
      <c r="I16" s="19"/>
      <c r="J16" s="19"/>
      <c r="K16" s="19"/>
      <c r="L16" s="24">
        <f>IF(OR(I16="",J16="",G16=""),0,IF(G16="Local",SUMIFS(Servicios!$F$6:$F$39,Servicios!$D$6:$D$39,I16,Servicios!$E$6:$E$39,J16),SUMIFS(Servicios!$G$6:$G$39,Servicios!$D$6:$D$39,I16,Servicios!$E$6:$E$39,J16)))</f>
        <v>0</v>
      </c>
      <c r="M16" s="25"/>
      <c r="N16" s="24">
        <f t="shared" si="1"/>
        <v>0</v>
      </c>
      <c r="O16" s="25"/>
      <c r="P16" s="25"/>
      <c r="Q16" s="25"/>
      <c r="R16" s="24">
        <f t="shared" si="2"/>
        <v>0</v>
      </c>
      <c r="S16" s="24">
        <f t="shared" si="3"/>
        <v>0</v>
      </c>
      <c r="T16" s="19"/>
      <c r="U16" s="19"/>
      <c r="V16" s="19"/>
      <c r="W16" s="26" t="str">
        <f t="array" ref="W16">IF(H16="","",IFERROR(INDEX(Manicuristas!$D$6:$D$9,MATCH(H16,Manicuristas!$C$6:$C$9,0)),0))</f>
        <v/>
      </c>
      <c r="X16" s="26" t="str">
        <f t="array" ref="X16">IF(H16="","",IFERROR(INDEX(Manicuristas!$E$6:$E$9,MATCH(H16,Manicuristas!$C$6:$C$9,0)),0))</f>
        <v/>
      </c>
      <c r="Y16" s="26" t="str">
        <f t="array" ref="Y16">IF(H16="","",IFERROR(INDEX(Manicuristas!$F$6:$F$9,MATCH(H16,Manicuristas!$C$6:$C$9,0)),0))</f>
        <v/>
      </c>
      <c r="Z16" s="24">
        <f t="shared" si="4"/>
        <v>0</v>
      </c>
      <c r="AA16" s="24">
        <f t="shared" si="5"/>
        <v>0</v>
      </c>
      <c r="AB16" s="24">
        <f t="shared" si="6"/>
        <v>0</v>
      </c>
      <c r="AC16" s="24">
        <f t="shared" si="7"/>
        <v>0</v>
      </c>
      <c r="AD16" s="19"/>
    </row>
    <row r="17">
      <c r="B17" s="19"/>
      <c r="C17" s="20"/>
      <c r="D17" s="21"/>
      <c r="E17" s="22"/>
      <c r="F17" s="19"/>
      <c r="G17" s="23" t="str">
        <f t="array" ref="G17">IF(F17="","",IFERROR(INDEX(Clientas!$F$6:$F$55,MATCH(F17,Clientas!$C$6:$C$55,0)),""))</f>
        <v/>
      </c>
      <c r="H17" s="19"/>
      <c r="I17" s="19"/>
      <c r="J17" s="19"/>
      <c r="K17" s="19"/>
      <c r="L17" s="24">
        <f>IF(OR(I17="",J17="",G17=""),0,IF(G17="Local",SUMIFS(Servicios!$F$6:$F$39,Servicios!$D$6:$D$39,I17,Servicios!$E$6:$E$39,J17),SUMIFS(Servicios!$G$6:$G$39,Servicios!$D$6:$D$39,I17,Servicios!$E$6:$E$39,J17)))</f>
        <v>0</v>
      </c>
      <c r="M17" s="25"/>
      <c r="N17" s="24">
        <f t="shared" si="1"/>
        <v>0</v>
      </c>
      <c r="O17" s="25"/>
      <c r="P17" s="25"/>
      <c r="Q17" s="25"/>
      <c r="R17" s="24">
        <f t="shared" si="2"/>
        <v>0</v>
      </c>
      <c r="S17" s="24">
        <f t="shared" si="3"/>
        <v>0</v>
      </c>
      <c r="T17" s="19"/>
      <c r="U17" s="19"/>
      <c r="V17" s="19"/>
      <c r="W17" s="26" t="str">
        <f t="array" ref="W17">IF(H17="","",IFERROR(INDEX(Manicuristas!$D$6:$D$9,MATCH(H17,Manicuristas!$C$6:$C$9,0)),0))</f>
        <v/>
      </c>
      <c r="X17" s="26" t="str">
        <f t="array" ref="X17">IF(H17="","",IFERROR(INDEX(Manicuristas!$E$6:$E$9,MATCH(H17,Manicuristas!$C$6:$C$9,0)),0))</f>
        <v/>
      </c>
      <c r="Y17" s="26" t="str">
        <f t="array" ref="Y17">IF(H17="","",IFERROR(INDEX(Manicuristas!$F$6:$F$9,MATCH(H17,Manicuristas!$C$6:$C$9,0)),0))</f>
        <v/>
      </c>
      <c r="Z17" s="24">
        <f t="shared" si="4"/>
        <v>0</v>
      </c>
      <c r="AA17" s="24">
        <f t="shared" si="5"/>
        <v>0</v>
      </c>
      <c r="AB17" s="24">
        <f t="shared" si="6"/>
        <v>0</v>
      </c>
      <c r="AC17" s="24">
        <f t="shared" si="7"/>
        <v>0</v>
      </c>
      <c r="AD17" s="19"/>
    </row>
    <row r="18">
      <c r="B18" s="19"/>
      <c r="C18" s="20"/>
      <c r="D18" s="21"/>
      <c r="E18" s="22"/>
      <c r="F18" s="19"/>
      <c r="G18" s="23" t="str">
        <f t="array" ref="G18">IF(F18="","",IFERROR(INDEX(Clientas!$F$6:$F$55,MATCH(F18,Clientas!$C$6:$C$55,0)),""))</f>
        <v/>
      </c>
      <c r="H18" s="19"/>
      <c r="I18" s="19"/>
      <c r="J18" s="19"/>
      <c r="K18" s="19"/>
      <c r="L18" s="24">
        <f>IF(OR(I18="",J18="",G18=""),0,IF(G18="Local",SUMIFS(Servicios!$F$6:$F$39,Servicios!$D$6:$D$39,I18,Servicios!$E$6:$E$39,J18),SUMIFS(Servicios!$G$6:$G$39,Servicios!$D$6:$D$39,I18,Servicios!$E$6:$E$39,J18)))</f>
        <v>0</v>
      </c>
      <c r="M18" s="25"/>
      <c r="N18" s="24">
        <f t="shared" si="1"/>
        <v>0</v>
      </c>
      <c r="O18" s="25"/>
      <c r="P18" s="25"/>
      <c r="Q18" s="25"/>
      <c r="R18" s="24">
        <f t="shared" si="2"/>
        <v>0</v>
      </c>
      <c r="S18" s="24">
        <f t="shared" si="3"/>
        <v>0</v>
      </c>
      <c r="T18" s="19"/>
      <c r="U18" s="19"/>
      <c r="V18" s="19"/>
      <c r="W18" s="26" t="str">
        <f t="array" ref="W18">IF(H18="","",IFERROR(INDEX(Manicuristas!$D$6:$D$9,MATCH(H18,Manicuristas!$C$6:$C$9,0)),0))</f>
        <v/>
      </c>
      <c r="X18" s="26" t="str">
        <f t="array" ref="X18">IF(H18="","",IFERROR(INDEX(Manicuristas!$E$6:$E$9,MATCH(H18,Manicuristas!$C$6:$C$9,0)),0))</f>
        <v/>
      </c>
      <c r="Y18" s="26" t="str">
        <f t="array" ref="Y18">IF(H18="","",IFERROR(INDEX(Manicuristas!$F$6:$F$9,MATCH(H18,Manicuristas!$C$6:$C$9,0)),0))</f>
        <v/>
      </c>
      <c r="Z18" s="24">
        <f t="shared" si="4"/>
        <v>0</v>
      </c>
      <c r="AA18" s="24">
        <f t="shared" si="5"/>
        <v>0</v>
      </c>
      <c r="AB18" s="24">
        <f t="shared" si="6"/>
        <v>0</v>
      </c>
      <c r="AC18" s="24">
        <f t="shared" si="7"/>
        <v>0</v>
      </c>
      <c r="AD18" s="19"/>
    </row>
    <row r="19">
      <c r="B19" s="19"/>
      <c r="C19" s="20"/>
      <c r="D19" s="21"/>
      <c r="E19" s="22"/>
      <c r="F19" s="19"/>
      <c r="G19" s="23" t="str">
        <f t="array" ref="G19">IF(F19="","",IFERROR(INDEX(Clientas!$F$6:$F$55,MATCH(F19,Clientas!$C$6:$C$55,0)),""))</f>
        <v/>
      </c>
      <c r="H19" s="19"/>
      <c r="I19" s="19"/>
      <c r="J19" s="19"/>
      <c r="K19" s="19"/>
      <c r="L19" s="24">
        <f>IF(OR(I19="",J19="",G19=""),0,IF(G19="Local",SUMIFS(Servicios!$F$6:$F$39,Servicios!$D$6:$D$39,I19,Servicios!$E$6:$E$39,J19),SUMIFS(Servicios!$G$6:$G$39,Servicios!$D$6:$D$39,I19,Servicios!$E$6:$E$39,J19)))</f>
        <v>0</v>
      </c>
      <c r="M19" s="25"/>
      <c r="N19" s="24">
        <f t="shared" si="1"/>
        <v>0</v>
      </c>
      <c r="O19" s="25"/>
      <c r="P19" s="25"/>
      <c r="Q19" s="25"/>
      <c r="R19" s="24">
        <f t="shared" si="2"/>
        <v>0</v>
      </c>
      <c r="S19" s="24">
        <f t="shared" si="3"/>
        <v>0</v>
      </c>
      <c r="T19" s="19"/>
      <c r="U19" s="19"/>
      <c r="V19" s="19"/>
      <c r="W19" s="26" t="str">
        <f t="array" ref="W19">IF(H19="","",IFERROR(INDEX(Manicuristas!$D$6:$D$9,MATCH(H19,Manicuristas!$C$6:$C$9,0)),0))</f>
        <v/>
      </c>
      <c r="X19" s="26" t="str">
        <f t="array" ref="X19">IF(H19="","",IFERROR(INDEX(Manicuristas!$E$6:$E$9,MATCH(H19,Manicuristas!$C$6:$C$9,0)),0))</f>
        <v/>
      </c>
      <c r="Y19" s="26" t="str">
        <f t="array" ref="Y19">IF(H19="","",IFERROR(INDEX(Manicuristas!$F$6:$F$9,MATCH(H19,Manicuristas!$C$6:$C$9,0)),0))</f>
        <v/>
      </c>
      <c r="Z19" s="24">
        <f t="shared" si="4"/>
        <v>0</v>
      </c>
      <c r="AA19" s="24">
        <f t="shared" si="5"/>
        <v>0</v>
      </c>
      <c r="AB19" s="24">
        <f t="shared" si="6"/>
        <v>0</v>
      </c>
      <c r="AC19" s="24">
        <f t="shared" si="7"/>
        <v>0</v>
      </c>
      <c r="AD19" s="19"/>
    </row>
    <row r="20">
      <c r="B20" s="19"/>
      <c r="C20" s="20"/>
      <c r="D20" s="21"/>
      <c r="E20" s="22"/>
      <c r="F20" s="19"/>
      <c r="G20" s="23" t="str">
        <f t="array" ref="G20">IF(F20="","",IFERROR(INDEX(Clientas!$F$6:$F$55,MATCH(F20,Clientas!$C$6:$C$55,0)),""))</f>
        <v/>
      </c>
      <c r="H20" s="19"/>
      <c r="I20" s="19"/>
      <c r="J20" s="19"/>
      <c r="K20" s="19"/>
      <c r="L20" s="24">
        <f>IF(OR(I20="",J20="",G20=""),0,IF(G20="Local",SUMIFS(Servicios!$F$6:$F$39,Servicios!$D$6:$D$39,I20,Servicios!$E$6:$E$39,J20),SUMIFS(Servicios!$G$6:$G$39,Servicios!$D$6:$D$39,I20,Servicios!$E$6:$E$39,J20)))</f>
        <v>0</v>
      </c>
      <c r="M20" s="25"/>
      <c r="N20" s="24">
        <f t="shared" si="1"/>
        <v>0</v>
      </c>
      <c r="O20" s="25"/>
      <c r="P20" s="25"/>
      <c r="Q20" s="25"/>
      <c r="R20" s="24">
        <f t="shared" si="2"/>
        <v>0</v>
      </c>
      <c r="S20" s="24">
        <f t="shared" si="3"/>
        <v>0</v>
      </c>
      <c r="T20" s="19"/>
      <c r="U20" s="19"/>
      <c r="V20" s="19"/>
      <c r="W20" s="26" t="str">
        <f t="array" ref="W20">IF(H20="","",IFERROR(INDEX(Manicuristas!$D$6:$D$9,MATCH(H20,Manicuristas!$C$6:$C$9,0)),0))</f>
        <v/>
      </c>
      <c r="X20" s="26" t="str">
        <f t="array" ref="X20">IF(H20="","",IFERROR(INDEX(Manicuristas!$E$6:$E$9,MATCH(H20,Manicuristas!$C$6:$C$9,0)),0))</f>
        <v/>
      </c>
      <c r="Y20" s="26" t="str">
        <f t="array" ref="Y20">IF(H20="","",IFERROR(INDEX(Manicuristas!$F$6:$F$9,MATCH(H20,Manicuristas!$C$6:$C$9,0)),0))</f>
        <v/>
      </c>
      <c r="Z20" s="24">
        <f t="shared" si="4"/>
        <v>0</v>
      </c>
      <c r="AA20" s="24">
        <f t="shared" si="5"/>
        <v>0</v>
      </c>
      <c r="AB20" s="24">
        <f t="shared" si="6"/>
        <v>0</v>
      </c>
      <c r="AC20" s="24">
        <f t="shared" si="7"/>
        <v>0</v>
      </c>
      <c r="AD20" s="19"/>
    </row>
    <row r="21" ht="15.75" customHeight="1">
      <c r="B21" s="19"/>
      <c r="C21" s="20"/>
      <c r="D21" s="21"/>
      <c r="E21" s="22"/>
      <c r="F21" s="19"/>
      <c r="G21" s="23" t="str">
        <f t="array" ref="G21">IF(F21="","",IFERROR(INDEX(Clientas!$F$6:$F$55,MATCH(F21,Clientas!$C$6:$C$55,0)),""))</f>
        <v/>
      </c>
      <c r="H21" s="19"/>
      <c r="I21" s="19"/>
      <c r="J21" s="19"/>
      <c r="K21" s="19"/>
      <c r="L21" s="24">
        <f>IF(OR(I21="",J21="",G21=""),0,IF(G21="Local",SUMIFS(Servicios!$F$6:$F$39,Servicios!$D$6:$D$39,I21,Servicios!$E$6:$E$39,J21),SUMIFS(Servicios!$G$6:$G$39,Servicios!$D$6:$D$39,I21,Servicios!$E$6:$E$39,J21)))</f>
        <v>0</v>
      </c>
      <c r="M21" s="25"/>
      <c r="N21" s="24">
        <f t="shared" si="1"/>
        <v>0</v>
      </c>
      <c r="O21" s="25"/>
      <c r="P21" s="25"/>
      <c r="Q21" s="25"/>
      <c r="R21" s="24">
        <f t="shared" si="2"/>
        <v>0</v>
      </c>
      <c r="S21" s="24">
        <f t="shared" si="3"/>
        <v>0</v>
      </c>
      <c r="T21" s="19"/>
      <c r="U21" s="19"/>
      <c r="V21" s="19"/>
      <c r="W21" s="26" t="str">
        <f t="array" ref="W21">IF(H21="","",IFERROR(INDEX(Manicuristas!$D$6:$D$9,MATCH(H21,Manicuristas!$C$6:$C$9,0)),0))</f>
        <v/>
      </c>
      <c r="X21" s="26" t="str">
        <f t="array" ref="X21">IF(H21="","",IFERROR(INDEX(Manicuristas!$E$6:$E$9,MATCH(H21,Manicuristas!$C$6:$C$9,0)),0))</f>
        <v/>
      </c>
      <c r="Y21" s="26" t="str">
        <f t="array" ref="Y21">IF(H21="","",IFERROR(INDEX(Manicuristas!$F$6:$F$9,MATCH(H21,Manicuristas!$C$6:$C$9,0)),0))</f>
        <v/>
      </c>
      <c r="Z21" s="24">
        <f t="shared" si="4"/>
        <v>0</v>
      </c>
      <c r="AA21" s="24">
        <f t="shared" si="5"/>
        <v>0</v>
      </c>
      <c r="AB21" s="24">
        <f t="shared" si="6"/>
        <v>0</v>
      </c>
      <c r="AC21" s="24">
        <f t="shared" si="7"/>
        <v>0</v>
      </c>
      <c r="AD21" s="19"/>
    </row>
    <row r="22" ht="15.75" customHeight="1">
      <c r="B22" s="19"/>
      <c r="C22" s="20"/>
      <c r="D22" s="21"/>
      <c r="E22" s="22"/>
      <c r="F22" s="19"/>
      <c r="G22" s="23" t="str">
        <f t="array" ref="G22">IF(F22="","",IFERROR(INDEX(Clientas!$F$6:$F$55,MATCH(F22,Clientas!$C$6:$C$55,0)),""))</f>
        <v/>
      </c>
      <c r="H22" s="19"/>
      <c r="I22" s="19"/>
      <c r="J22" s="19"/>
      <c r="K22" s="19"/>
      <c r="L22" s="24">
        <f>IF(OR(I22="",J22="",G22=""),0,IF(G22="Local",SUMIFS(Servicios!$F$6:$F$39,Servicios!$D$6:$D$39,I22,Servicios!$E$6:$E$39,J22),SUMIFS(Servicios!$G$6:$G$39,Servicios!$D$6:$D$39,I22,Servicios!$E$6:$E$39,J22)))</f>
        <v>0</v>
      </c>
      <c r="M22" s="25"/>
      <c r="N22" s="24">
        <f t="shared" si="1"/>
        <v>0</v>
      </c>
      <c r="O22" s="25"/>
      <c r="P22" s="25"/>
      <c r="Q22" s="25"/>
      <c r="R22" s="24">
        <f t="shared" si="2"/>
        <v>0</v>
      </c>
      <c r="S22" s="24">
        <f t="shared" si="3"/>
        <v>0</v>
      </c>
      <c r="T22" s="19"/>
      <c r="U22" s="19"/>
      <c r="V22" s="19"/>
      <c r="W22" s="26" t="str">
        <f t="array" ref="W22">IF(H22="","",IFERROR(INDEX(Manicuristas!$D$6:$D$9,MATCH(H22,Manicuristas!$C$6:$C$9,0)),0))</f>
        <v/>
      </c>
      <c r="X22" s="26" t="str">
        <f t="array" ref="X22">IF(H22="","",IFERROR(INDEX(Manicuristas!$E$6:$E$9,MATCH(H22,Manicuristas!$C$6:$C$9,0)),0))</f>
        <v/>
      </c>
      <c r="Y22" s="26" t="str">
        <f t="array" ref="Y22">IF(H22="","",IFERROR(INDEX(Manicuristas!$F$6:$F$9,MATCH(H22,Manicuristas!$C$6:$C$9,0)),0))</f>
        <v/>
      </c>
      <c r="Z22" s="24">
        <f t="shared" si="4"/>
        <v>0</v>
      </c>
      <c r="AA22" s="24">
        <f t="shared" si="5"/>
        <v>0</v>
      </c>
      <c r="AB22" s="24">
        <f t="shared" si="6"/>
        <v>0</v>
      </c>
      <c r="AC22" s="24">
        <f t="shared" si="7"/>
        <v>0</v>
      </c>
      <c r="AD22" s="19"/>
    </row>
    <row r="23" ht="15.75" customHeight="1">
      <c r="B23" s="19"/>
      <c r="C23" s="20"/>
      <c r="D23" s="21"/>
      <c r="E23" s="22"/>
      <c r="F23" s="19"/>
      <c r="G23" s="23" t="str">
        <f t="array" ref="G23">IF(F23="","",IFERROR(INDEX(Clientas!$F$6:$F$55,MATCH(F23,Clientas!$C$6:$C$55,0)),""))</f>
        <v/>
      </c>
      <c r="H23" s="19"/>
      <c r="I23" s="19"/>
      <c r="J23" s="19"/>
      <c r="K23" s="19"/>
      <c r="L23" s="24">
        <f>IF(OR(I23="",J23="",G23=""),0,IF(G23="Local",SUMIFS(Servicios!$F$6:$F$39,Servicios!$D$6:$D$39,I23,Servicios!$E$6:$E$39,J23),SUMIFS(Servicios!$G$6:$G$39,Servicios!$D$6:$D$39,I23,Servicios!$E$6:$E$39,J23)))</f>
        <v>0</v>
      </c>
      <c r="M23" s="25"/>
      <c r="N23" s="24">
        <f t="shared" si="1"/>
        <v>0</v>
      </c>
      <c r="O23" s="25"/>
      <c r="P23" s="25"/>
      <c r="Q23" s="25"/>
      <c r="R23" s="24">
        <f t="shared" si="2"/>
        <v>0</v>
      </c>
      <c r="S23" s="24">
        <f t="shared" si="3"/>
        <v>0</v>
      </c>
      <c r="T23" s="19"/>
      <c r="U23" s="19"/>
      <c r="V23" s="19"/>
      <c r="W23" s="26" t="str">
        <f t="array" ref="W23">IF(H23="","",IFERROR(INDEX(Manicuristas!$D$6:$D$9,MATCH(H23,Manicuristas!$C$6:$C$9,0)),0))</f>
        <v/>
      </c>
      <c r="X23" s="26" t="str">
        <f t="array" ref="X23">IF(H23="","",IFERROR(INDEX(Manicuristas!$E$6:$E$9,MATCH(H23,Manicuristas!$C$6:$C$9,0)),0))</f>
        <v/>
      </c>
      <c r="Y23" s="26" t="str">
        <f t="array" ref="Y23">IF(H23="","",IFERROR(INDEX(Manicuristas!$F$6:$F$9,MATCH(H23,Manicuristas!$C$6:$C$9,0)),0))</f>
        <v/>
      </c>
      <c r="Z23" s="24">
        <f t="shared" si="4"/>
        <v>0</v>
      </c>
      <c r="AA23" s="24">
        <f t="shared" si="5"/>
        <v>0</v>
      </c>
      <c r="AB23" s="24">
        <f t="shared" si="6"/>
        <v>0</v>
      </c>
      <c r="AC23" s="24">
        <f t="shared" si="7"/>
        <v>0</v>
      </c>
      <c r="AD23" s="19"/>
    </row>
    <row r="24" ht="15.75" customHeight="1">
      <c r="B24" s="19"/>
      <c r="C24" s="20"/>
      <c r="D24" s="21"/>
      <c r="E24" s="22"/>
      <c r="F24" s="19"/>
      <c r="G24" s="23" t="str">
        <f t="array" ref="G24">IF(F24="","",IFERROR(INDEX(Clientas!$F$6:$F$55,MATCH(F24,Clientas!$C$6:$C$55,0)),""))</f>
        <v/>
      </c>
      <c r="H24" s="19"/>
      <c r="I24" s="19"/>
      <c r="J24" s="19"/>
      <c r="K24" s="19"/>
      <c r="L24" s="24">
        <f>IF(OR(I24="",J24="",G24=""),0,IF(G24="Local",SUMIFS(Servicios!$F$6:$F$39,Servicios!$D$6:$D$39,I24,Servicios!$E$6:$E$39,J24),SUMIFS(Servicios!$G$6:$G$39,Servicios!$D$6:$D$39,I24,Servicios!$E$6:$E$39,J24)))</f>
        <v>0</v>
      </c>
      <c r="M24" s="25"/>
      <c r="N24" s="24">
        <f t="shared" si="1"/>
        <v>0</v>
      </c>
      <c r="O24" s="25"/>
      <c r="P24" s="25"/>
      <c r="Q24" s="25"/>
      <c r="R24" s="24">
        <f t="shared" si="2"/>
        <v>0</v>
      </c>
      <c r="S24" s="24">
        <f t="shared" si="3"/>
        <v>0</v>
      </c>
      <c r="T24" s="19"/>
      <c r="U24" s="19"/>
      <c r="V24" s="19"/>
      <c r="W24" s="26" t="str">
        <f t="array" ref="W24">IF(H24="","",IFERROR(INDEX(Manicuristas!$D$6:$D$9,MATCH(H24,Manicuristas!$C$6:$C$9,0)),0))</f>
        <v/>
      </c>
      <c r="X24" s="26" t="str">
        <f t="array" ref="X24">IF(H24="","",IFERROR(INDEX(Manicuristas!$E$6:$E$9,MATCH(H24,Manicuristas!$C$6:$C$9,0)),0))</f>
        <v/>
      </c>
      <c r="Y24" s="26" t="str">
        <f t="array" ref="Y24">IF(H24="","",IFERROR(INDEX(Manicuristas!$F$6:$F$9,MATCH(H24,Manicuristas!$C$6:$C$9,0)),0))</f>
        <v/>
      </c>
      <c r="Z24" s="24">
        <f t="shared" si="4"/>
        <v>0</v>
      </c>
      <c r="AA24" s="24">
        <f t="shared" si="5"/>
        <v>0</v>
      </c>
      <c r="AB24" s="24">
        <f t="shared" si="6"/>
        <v>0</v>
      </c>
      <c r="AC24" s="24">
        <f t="shared" si="7"/>
        <v>0</v>
      </c>
      <c r="AD24" s="19"/>
    </row>
    <row r="25" ht="15.75" customHeight="1">
      <c r="B25" s="19"/>
      <c r="C25" s="20"/>
      <c r="D25" s="21"/>
      <c r="E25" s="22"/>
      <c r="F25" s="19"/>
      <c r="G25" s="23" t="str">
        <f t="array" ref="G25">IF(F25="","",IFERROR(INDEX(Clientas!$F$6:$F$55,MATCH(F25,Clientas!$C$6:$C$55,0)),""))</f>
        <v/>
      </c>
      <c r="H25" s="19"/>
      <c r="I25" s="19"/>
      <c r="J25" s="19"/>
      <c r="K25" s="19"/>
      <c r="L25" s="24">
        <f>IF(OR(I25="",J25="",G25=""),0,IF(G25="Local",SUMIFS(Servicios!$F$6:$F$39,Servicios!$D$6:$D$39,I25,Servicios!$E$6:$E$39,J25),SUMIFS(Servicios!$G$6:$G$39,Servicios!$D$6:$D$39,I25,Servicios!$E$6:$E$39,J25)))</f>
        <v>0</v>
      </c>
      <c r="M25" s="25"/>
      <c r="N25" s="24">
        <f t="shared" si="1"/>
        <v>0</v>
      </c>
      <c r="O25" s="25"/>
      <c r="P25" s="25"/>
      <c r="Q25" s="25"/>
      <c r="R25" s="24">
        <f t="shared" si="2"/>
        <v>0</v>
      </c>
      <c r="S25" s="24">
        <f t="shared" si="3"/>
        <v>0</v>
      </c>
      <c r="T25" s="19"/>
      <c r="U25" s="19"/>
      <c r="V25" s="19"/>
      <c r="W25" s="26" t="str">
        <f t="array" ref="W25">IF(H25="","",IFERROR(INDEX(Manicuristas!$D$6:$D$9,MATCH(H25,Manicuristas!$C$6:$C$9,0)),0))</f>
        <v/>
      </c>
      <c r="X25" s="26" t="str">
        <f t="array" ref="X25">IF(H25="","",IFERROR(INDEX(Manicuristas!$E$6:$E$9,MATCH(H25,Manicuristas!$C$6:$C$9,0)),0))</f>
        <v/>
      </c>
      <c r="Y25" s="26" t="str">
        <f t="array" ref="Y25">IF(H25="","",IFERROR(INDEX(Manicuristas!$F$6:$F$9,MATCH(H25,Manicuristas!$C$6:$C$9,0)),0))</f>
        <v/>
      </c>
      <c r="Z25" s="24">
        <f t="shared" si="4"/>
        <v>0</v>
      </c>
      <c r="AA25" s="24">
        <f t="shared" si="5"/>
        <v>0</v>
      </c>
      <c r="AB25" s="24">
        <f t="shared" si="6"/>
        <v>0</v>
      </c>
      <c r="AC25" s="24">
        <f t="shared" si="7"/>
        <v>0</v>
      </c>
      <c r="AD25" s="19"/>
    </row>
    <row r="26" ht="15.75" customHeight="1">
      <c r="B26" s="19"/>
      <c r="C26" s="20"/>
      <c r="D26" s="21"/>
      <c r="E26" s="22"/>
      <c r="F26" s="19"/>
      <c r="G26" s="23" t="str">
        <f t="array" ref="G26">IF(F26="","",IFERROR(INDEX(Clientas!$F$6:$F$55,MATCH(F26,Clientas!$C$6:$C$55,0)),""))</f>
        <v/>
      </c>
      <c r="H26" s="19"/>
      <c r="I26" s="19"/>
      <c r="J26" s="19"/>
      <c r="K26" s="19"/>
      <c r="L26" s="24">
        <f>IF(OR(I26="",J26="",G26=""),0,IF(G26="Local",SUMIFS(Servicios!$F$6:$F$39,Servicios!$D$6:$D$39,I26,Servicios!$E$6:$E$39,J26),SUMIFS(Servicios!$G$6:$G$39,Servicios!$D$6:$D$39,I26,Servicios!$E$6:$E$39,J26)))</f>
        <v>0</v>
      </c>
      <c r="M26" s="25"/>
      <c r="N26" s="24">
        <f t="shared" si="1"/>
        <v>0</v>
      </c>
      <c r="O26" s="25"/>
      <c r="P26" s="25"/>
      <c r="Q26" s="25"/>
      <c r="R26" s="24">
        <f t="shared" si="2"/>
        <v>0</v>
      </c>
      <c r="S26" s="24">
        <f t="shared" si="3"/>
        <v>0</v>
      </c>
      <c r="T26" s="19"/>
      <c r="U26" s="19"/>
      <c r="V26" s="19"/>
      <c r="W26" s="26" t="str">
        <f t="array" ref="W26">IF(H26="","",IFERROR(INDEX(Manicuristas!$D$6:$D$9,MATCH(H26,Manicuristas!$C$6:$C$9,0)),0))</f>
        <v/>
      </c>
      <c r="X26" s="26" t="str">
        <f t="array" ref="X26">IF(H26="","",IFERROR(INDEX(Manicuristas!$E$6:$E$9,MATCH(H26,Manicuristas!$C$6:$C$9,0)),0))</f>
        <v/>
      </c>
      <c r="Y26" s="26" t="str">
        <f t="array" ref="Y26">IF(H26="","",IFERROR(INDEX(Manicuristas!$F$6:$F$9,MATCH(H26,Manicuristas!$C$6:$C$9,0)),0))</f>
        <v/>
      </c>
      <c r="Z26" s="24">
        <f t="shared" si="4"/>
        <v>0</v>
      </c>
      <c r="AA26" s="24">
        <f t="shared" si="5"/>
        <v>0</v>
      </c>
      <c r="AB26" s="24">
        <f t="shared" si="6"/>
        <v>0</v>
      </c>
      <c r="AC26" s="24">
        <f t="shared" si="7"/>
        <v>0</v>
      </c>
      <c r="AD26" s="19"/>
    </row>
    <row r="27" ht="15.75" customHeight="1">
      <c r="B27" s="19"/>
      <c r="C27" s="20"/>
      <c r="D27" s="21"/>
      <c r="E27" s="22"/>
      <c r="F27" s="19"/>
      <c r="G27" s="23" t="str">
        <f t="array" ref="G27">IF(F27="","",IFERROR(INDEX(Clientas!$F$6:$F$55,MATCH(F27,Clientas!$C$6:$C$55,0)),""))</f>
        <v/>
      </c>
      <c r="H27" s="19"/>
      <c r="I27" s="19"/>
      <c r="J27" s="19"/>
      <c r="K27" s="19"/>
      <c r="L27" s="24">
        <f>IF(OR(I27="",J27="",G27=""),0,IF(G27="Local",SUMIFS(Servicios!$F$6:$F$39,Servicios!$D$6:$D$39,I27,Servicios!$E$6:$E$39,J27),SUMIFS(Servicios!$G$6:$G$39,Servicios!$D$6:$D$39,I27,Servicios!$E$6:$E$39,J27)))</f>
        <v>0</v>
      </c>
      <c r="M27" s="25"/>
      <c r="N27" s="24">
        <f t="shared" si="1"/>
        <v>0</v>
      </c>
      <c r="O27" s="25"/>
      <c r="P27" s="25"/>
      <c r="Q27" s="25"/>
      <c r="R27" s="24">
        <f t="shared" si="2"/>
        <v>0</v>
      </c>
      <c r="S27" s="24">
        <f t="shared" si="3"/>
        <v>0</v>
      </c>
      <c r="T27" s="19"/>
      <c r="U27" s="19"/>
      <c r="V27" s="19"/>
      <c r="W27" s="26" t="str">
        <f t="array" ref="W27">IF(H27="","",IFERROR(INDEX(Manicuristas!$D$6:$D$9,MATCH(H27,Manicuristas!$C$6:$C$9,0)),0))</f>
        <v/>
      </c>
      <c r="X27" s="26" t="str">
        <f t="array" ref="X27">IF(H27="","",IFERROR(INDEX(Manicuristas!$E$6:$E$9,MATCH(H27,Manicuristas!$C$6:$C$9,0)),0))</f>
        <v/>
      </c>
      <c r="Y27" s="26" t="str">
        <f t="array" ref="Y27">IF(H27="","",IFERROR(INDEX(Manicuristas!$F$6:$F$9,MATCH(H27,Manicuristas!$C$6:$C$9,0)),0))</f>
        <v/>
      </c>
      <c r="Z27" s="24">
        <f t="shared" si="4"/>
        <v>0</v>
      </c>
      <c r="AA27" s="24">
        <f t="shared" si="5"/>
        <v>0</v>
      </c>
      <c r="AB27" s="24">
        <f t="shared" si="6"/>
        <v>0</v>
      </c>
      <c r="AC27" s="24">
        <f t="shared" si="7"/>
        <v>0</v>
      </c>
      <c r="AD27" s="19"/>
    </row>
    <row r="28" ht="15.75" customHeight="1">
      <c r="B28" s="19"/>
      <c r="C28" s="20"/>
      <c r="D28" s="21"/>
      <c r="E28" s="22"/>
      <c r="F28" s="19"/>
      <c r="G28" s="23" t="str">
        <f t="array" ref="G28">IF(F28="","",IFERROR(INDEX(Clientas!$F$6:$F$55,MATCH(F28,Clientas!$C$6:$C$55,0)),""))</f>
        <v/>
      </c>
      <c r="H28" s="19"/>
      <c r="I28" s="19"/>
      <c r="J28" s="19"/>
      <c r="K28" s="19"/>
      <c r="L28" s="24">
        <f>IF(OR(I28="",J28="",G28=""),0,IF(G28="Local",SUMIFS(Servicios!$F$6:$F$39,Servicios!$D$6:$D$39,I28,Servicios!$E$6:$E$39,J28),SUMIFS(Servicios!$G$6:$G$39,Servicios!$D$6:$D$39,I28,Servicios!$E$6:$E$39,J28)))</f>
        <v>0</v>
      </c>
      <c r="M28" s="25"/>
      <c r="N28" s="24">
        <f t="shared" si="1"/>
        <v>0</v>
      </c>
      <c r="O28" s="25"/>
      <c r="P28" s="25"/>
      <c r="Q28" s="25"/>
      <c r="R28" s="24">
        <f t="shared" si="2"/>
        <v>0</v>
      </c>
      <c r="S28" s="24">
        <f t="shared" si="3"/>
        <v>0</v>
      </c>
      <c r="T28" s="19"/>
      <c r="U28" s="19"/>
      <c r="V28" s="19"/>
      <c r="W28" s="26" t="str">
        <f t="array" ref="W28">IF(H28="","",IFERROR(INDEX(Manicuristas!$D$6:$D$9,MATCH(H28,Manicuristas!$C$6:$C$9,0)),0))</f>
        <v/>
      </c>
      <c r="X28" s="26" t="str">
        <f t="array" ref="X28">IF(H28="","",IFERROR(INDEX(Manicuristas!$E$6:$E$9,MATCH(H28,Manicuristas!$C$6:$C$9,0)),0))</f>
        <v/>
      </c>
      <c r="Y28" s="26" t="str">
        <f t="array" ref="Y28">IF(H28="","",IFERROR(INDEX(Manicuristas!$F$6:$F$9,MATCH(H28,Manicuristas!$C$6:$C$9,0)),0))</f>
        <v/>
      </c>
      <c r="Z28" s="24">
        <f t="shared" si="4"/>
        <v>0</v>
      </c>
      <c r="AA28" s="24">
        <f t="shared" si="5"/>
        <v>0</v>
      </c>
      <c r="AB28" s="24">
        <f t="shared" si="6"/>
        <v>0</v>
      </c>
      <c r="AC28" s="24">
        <f t="shared" si="7"/>
        <v>0</v>
      </c>
      <c r="AD28" s="19"/>
    </row>
    <row r="29" ht="15.75" customHeight="1">
      <c r="B29" s="19"/>
      <c r="C29" s="20"/>
      <c r="D29" s="21"/>
      <c r="E29" s="22"/>
      <c r="F29" s="19"/>
      <c r="G29" s="23" t="str">
        <f t="array" ref="G29">IF(F29="","",IFERROR(INDEX(Clientas!$F$6:$F$55,MATCH(F29,Clientas!$C$6:$C$55,0)),""))</f>
        <v/>
      </c>
      <c r="H29" s="19"/>
      <c r="I29" s="19"/>
      <c r="J29" s="19"/>
      <c r="K29" s="19"/>
      <c r="L29" s="24">
        <f>IF(OR(I29="",J29="",G29=""),0,IF(G29="Local",SUMIFS(Servicios!$F$6:$F$39,Servicios!$D$6:$D$39,I29,Servicios!$E$6:$E$39,J29),SUMIFS(Servicios!$G$6:$G$39,Servicios!$D$6:$D$39,I29,Servicios!$E$6:$E$39,J29)))</f>
        <v>0</v>
      </c>
      <c r="M29" s="25"/>
      <c r="N29" s="24">
        <f t="shared" si="1"/>
        <v>0</v>
      </c>
      <c r="O29" s="25"/>
      <c r="P29" s="25"/>
      <c r="Q29" s="25"/>
      <c r="R29" s="24">
        <f t="shared" si="2"/>
        <v>0</v>
      </c>
      <c r="S29" s="24">
        <f t="shared" si="3"/>
        <v>0</v>
      </c>
      <c r="T29" s="19"/>
      <c r="U29" s="19"/>
      <c r="V29" s="19"/>
      <c r="W29" s="26" t="str">
        <f t="array" ref="W29">IF(H29="","",IFERROR(INDEX(Manicuristas!$D$6:$D$9,MATCH(H29,Manicuristas!$C$6:$C$9,0)),0))</f>
        <v/>
      </c>
      <c r="X29" s="26" t="str">
        <f t="array" ref="X29">IF(H29="","",IFERROR(INDEX(Manicuristas!$E$6:$E$9,MATCH(H29,Manicuristas!$C$6:$C$9,0)),0))</f>
        <v/>
      </c>
      <c r="Y29" s="26" t="str">
        <f t="array" ref="Y29">IF(H29="","",IFERROR(INDEX(Manicuristas!$F$6:$F$9,MATCH(H29,Manicuristas!$C$6:$C$9,0)),0))</f>
        <v/>
      </c>
      <c r="Z29" s="24">
        <f t="shared" si="4"/>
        <v>0</v>
      </c>
      <c r="AA29" s="24">
        <f t="shared" si="5"/>
        <v>0</v>
      </c>
      <c r="AB29" s="24">
        <f t="shared" si="6"/>
        <v>0</v>
      </c>
      <c r="AC29" s="24">
        <f t="shared" si="7"/>
        <v>0</v>
      </c>
      <c r="AD29" s="19"/>
    </row>
    <row r="30" ht="15.75" customHeight="1">
      <c r="B30" s="19"/>
      <c r="C30" s="20"/>
      <c r="D30" s="21"/>
      <c r="E30" s="22"/>
      <c r="F30" s="19"/>
      <c r="G30" s="23" t="str">
        <f t="array" ref="G30">IF(F30="","",IFERROR(INDEX(Clientas!$F$6:$F$55,MATCH(F30,Clientas!$C$6:$C$55,0)),""))</f>
        <v/>
      </c>
      <c r="H30" s="19"/>
      <c r="I30" s="19"/>
      <c r="J30" s="19"/>
      <c r="K30" s="19"/>
      <c r="L30" s="24">
        <f>IF(OR(I30="",J30="",G30=""),0,IF(G30="Local",SUMIFS(Servicios!$F$6:$F$39,Servicios!$D$6:$D$39,I30,Servicios!$E$6:$E$39,J30),SUMIFS(Servicios!$G$6:$G$39,Servicios!$D$6:$D$39,I30,Servicios!$E$6:$E$39,J30)))</f>
        <v>0</v>
      </c>
      <c r="M30" s="25"/>
      <c r="N30" s="24">
        <f t="shared" si="1"/>
        <v>0</v>
      </c>
      <c r="O30" s="25"/>
      <c r="P30" s="25"/>
      <c r="Q30" s="25"/>
      <c r="R30" s="24">
        <f t="shared" si="2"/>
        <v>0</v>
      </c>
      <c r="S30" s="24">
        <f t="shared" si="3"/>
        <v>0</v>
      </c>
      <c r="T30" s="19"/>
      <c r="U30" s="19"/>
      <c r="V30" s="19"/>
      <c r="W30" s="26" t="str">
        <f t="array" ref="W30">IF(H30="","",IFERROR(INDEX(Manicuristas!$D$6:$D$9,MATCH(H30,Manicuristas!$C$6:$C$9,0)),0))</f>
        <v/>
      </c>
      <c r="X30" s="26" t="str">
        <f t="array" ref="X30">IF(H30="","",IFERROR(INDEX(Manicuristas!$E$6:$E$9,MATCH(H30,Manicuristas!$C$6:$C$9,0)),0))</f>
        <v/>
      </c>
      <c r="Y30" s="26" t="str">
        <f t="array" ref="Y30">IF(H30="","",IFERROR(INDEX(Manicuristas!$F$6:$F$9,MATCH(H30,Manicuristas!$C$6:$C$9,0)),0))</f>
        <v/>
      </c>
      <c r="Z30" s="24">
        <f t="shared" si="4"/>
        <v>0</v>
      </c>
      <c r="AA30" s="24">
        <f t="shared" si="5"/>
        <v>0</v>
      </c>
      <c r="AB30" s="24">
        <f t="shared" si="6"/>
        <v>0</v>
      </c>
      <c r="AC30" s="24">
        <f t="shared" si="7"/>
        <v>0</v>
      </c>
      <c r="AD30" s="19"/>
    </row>
    <row r="31" ht="15.75" customHeight="1">
      <c r="B31" s="19"/>
      <c r="C31" s="20"/>
      <c r="D31" s="21"/>
      <c r="E31" s="22"/>
      <c r="F31" s="19"/>
      <c r="G31" s="23" t="str">
        <f t="array" ref="G31">IF(F31="","",IFERROR(INDEX(Clientas!$F$6:$F$55,MATCH(F31,Clientas!$C$6:$C$55,0)),""))</f>
        <v/>
      </c>
      <c r="H31" s="19"/>
      <c r="I31" s="19"/>
      <c r="J31" s="19"/>
      <c r="K31" s="19"/>
      <c r="L31" s="24">
        <f>IF(OR(I31="",J31="",G31=""),0,IF(G31="Local",SUMIFS(Servicios!$F$6:$F$39,Servicios!$D$6:$D$39,I31,Servicios!$E$6:$E$39,J31),SUMIFS(Servicios!$G$6:$G$39,Servicios!$D$6:$D$39,I31,Servicios!$E$6:$E$39,J31)))</f>
        <v>0</v>
      </c>
      <c r="M31" s="25"/>
      <c r="N31" s="24">
        <f t="shared" si="1"/>
        <v>0</v>
      </c>
      <c r="O31" s="25"/>
      <c r="P31" s="25"/>
      <c r="Q31" s="25"/>
      <c r="R31" s="24">
        <f t="shared" si="2"/>
        <v>0</v>
      </c>
      <c r="S31" s="24">
        <f t="shared" si="3"/>
        <v>0</v>
      </c>
      <c r="T31" s="19"/>
      <c r="U31" s="19"/>
      <c r="V31" s="19"/>
      <c r="W31" s="26" t="str">
        <f t="array" ref="W31">IF(H31="","",IFERROR(INDEX(Manicuristas!$D$6:$D$9,MATCH(H31,Manicuristas!$C$6:$C$9,0)),0))</f>
        <v/>
      </c>
      <c r="X31" s="26" t="str">
        <f t="array" ref="X31">IF(H31="","",IFERROR(INDEX(Manicuristas!$E$6:$E$9,MATCH(H31,Manicuristas!$C$6:$C$9,0)),0))</f>
        <v/>
      </c>
      <c r="Y31" s="26" t="str">
        <f t="array" ref="Y31">IF(H31="","",IFERROR(INDEX(Manicuristas!$F$6:$F$9,MATCH(H31,Manicuristas!$C$6:$C$9,0)),0))</f>
        <v/>
      </c>
      <c r="Z31" s="24">
        <f t="shared" si="4"/>
        <v>0</v>
      </c>
      <c r="AA31" s="24">
        <f t="shared" si="5"/>
        <v>0</v>
      </c>
      <c r="AB31" s="24">
        <f t="shared" si="6"/>
        <v>0</v>
      </c>
      <c r="AC31" s="24">
        <f t="shared" si="7"/>
        <v>0</v>
      </c>
      <c r="AD31" s="19"/>
    </row>
    <row r="32" ht="15.75" customHeight="1">
      <c r="B32" s="19"/>
      <c r="C32" s="20"/>
      <c r="D32" s="21"/>
      <c r="E32" s="22"/>
      <c r="F32" s="19"/>
      <c r="G32" s="23" t="str">
        <f t="array" ref="G32">IF(F32="","",IFERROR(INDEX(Clientas!$F$6:$F$55,MATCH(F32,Clientas!$C$6:$C$55,0)),""))</f>
        <v/>
      </c>
      <c r="H32" s="19"/>
      <c r="I32" s="19"/>
      <c r="J32" s="19"/>
      <c r="K32" s="19"/>
      <c r="L32" s="24">
        <f>IF(OR(I32="",J32="",G32=""),0,IF(G32="Local",SUMIFS(Servicios!$F$6:$F$39,Servicios!$D$6:$D$39,I32,Servicios!$E$6:$E$39,J32),SUMIFS(Servicios!$G$6:$G$39,Servicios!$D$6:$D$39,I32,Servicios!$E$6:$E$39,J32)))</f>
        <v>0</v>
      </c>
      <c r="M32" s="25"/>
      <c r="N32" s="24">
        <f t="shared" si="1"/>
        <v>0</v>
      </c>
      <c r="O32" s="25"/>
      <c r="P32" s="25"/>
      <c r="Q32" s="25"/>
      <c r="R32" s="24">
        <f t="shared" si="2"/>
        <v>0</v>
      </c>
      <c r="S32" s="24">
        <f t="shared" si="3"/>
        <v>0</v>
      </c>
      <c r="T32" s="19"/>
      <c r="U32" s="19"/>
      <c r="V32" s="19"/>
      <c r="W32" s="26" t="str">
        <f t="array" ref="W32">IF(H32="","",IFERROR(INDEX(Manicuristas!$D$6:$D$9,MATCH(H32,Manicuristas!$C$6:$C$9,0)),0))</f>
        <v/>
      </c>
      <c r="X32" s="26" t="str">
        <f t="array" ref="X32">IF(H32="","",IFERROR(INDEX(Manicuristas!$E$6:$E$9,MATCH(H32,Manicuristas!$C$6:$C$9,0)),0))</f>
        <v/>
      </c>
      <c r="Y32" s="26" t="str">
        <f t="array" ref="Y32">IF(H32="","",IFERROR(INDEX(Manicuristas!$F$6:$F$9,MATCH(H32,Manicuristas!$C$6:$C$9,0)),0))</f>
        <v/>
      </c>
      <c r="Z32" s="24">
        <f t="shared" si="4"/>
        <v>0</v>
      </c>
      <c r="AA32" s="24">
        <f t="shared" si="5"/>
        <v>0</v>
      </c>
      <c r="AB32" s="24">
        <f t="shared" si="6"/>
        <v>0</v>
      </c>
      <c r="AC32" s="24">
        <f t="shared" si="7"/>
        <v>0</v>
      </c>
      <c r="AD32" s="19"/>
    </row>
    <row r="33" ht="15.75" customHeight="1">
      <c r="B33" s="19"/>
      <c r="C33" s="20"/>
      <c r="D33" s="21"/>
      <c r="E33" s="22"/>
      <c r="F33" s="19"/>
      <c r="G33" s="23" t="str">
        <f t="array" ref="G33">IF(F33="","",IFERROR(INDEX(Clientas!$F$6:$F$55,MATCH(F33,Clientas!$C$6:$C$55,0)),""))</f>
        <v/>
      </c>
      <c r="H33" s="19"/>
      <c r="I33" s="19"/>
      <c r="J33" s="19"/>
      <c r="K33" s="19"/>
      <c r="L33" s="24">
        <f>IF(OR(I33="",J33="",G33=""),0,IF(G33="Local",SUMIFS(Servicios!$F$6:$F$39,Servicios!$D$6:$D$39,I33,Servicios!$E$6:$E$39,J33),SUMIFS(Servicios!$G$6:$G$39,Servicios!$D$6:$D$39,I33,Servicios!$E$6:$E$39,J33)))</f>
        <v>0</v>
      </c>
      <c r="M33" s="25"/>
      <c r="N33" s="24">
        <f t="shared" si="1"/>
        <v>0</v>
      </c>
      <c r="O33" s="25"/>
      <c r="P33" s="25"/>
      <c r="Q33" s="25"/>
      <c r="R33" s="24">
        <f t="shared" si="2"/>
        <v>0</v>
      </c>
      <c r="S33" s="24">
        <f t="shared" si="3"/>
        <v>0</v>
      </c>
      <c r="T33" s="19"/>
      <c r="U33" s="19"/>
      <c r="V33" s="19"/>
      <c r="W33" s="26" t="str">
        <f t="array" ref="W33">IF(H33="","",IFERROR(INDEX(Manicuristas!$D$6:$D$9,MATCH(H33,Manicuristas!$C$6:$C$9,0)),0))</f>
        <v/>
      </c>
      <c r="X33" s="26" t="str">
        <f t="array" ref="X33">IF(H33="","",IFERROR(INDEX(Manicuristas!$E$6:$E$9,MATCH(H33,Manicuristas!$C$6:$C$9,0)),0))</f>
        <v/>
      </c>
      <c r="Y33" s="26" t="str">
        <f t="array" ref="Y33">IF(H33="","",IFERROR(INDEX(Manicuristas!$F$6:$F$9,MATCH(H33,Manicuristas!$C$6:$C$9,0)),0))</f>
        <v/>
      </c>
      <c r="Z33" s="24">
        <f t="shared" si="4"/>
        <v>0</v>
      </c>
      <c r="AA33" s="24">
        <f t="shared" si="5"/>
        <v>0</v>
      </c>
      <c r="AB33" s="24">
        <f t="shared" si="6"/>
        <v>0</v>
      </c>
      <c r="AC33" s="24">
        <f t="shared" si="7"/>
        <v>0</v>
      </c>
      <c r="AD33" s="19"/>
    </row>
    <row r="34" ht="15.75" customHeight="1">
      <c r="B34" s="19"/>
      <c r="C34" s="20"/>
      <c r="D34" s="21"/>
      <c r="E34" s="22"/>
      <c r="F34" s="19"/>
      <c r="G34" s="23" t="str">
        <f t="array" ref="G34">IF(F34="","",IFERROR(INDEX(Clientas!$F$6:$F$55,MATCH(F34,Clientas!$C$6:$C$55,0)),""))</f>
        <v/>
      </c>
      <c r="H34" s="19"/>
      <c r="I34" s="19"/>
      <c r="J34" s="19"/>
      <c r="K34" s="19"/>
      <c r="L34" s="24">
        <f>IF(OR(I34="",J34="",G34=""),0,IF(G34="Local",SUMIFS(Servicios!$F$6:$F$39,Servicios!$D$6:$D$39,I34,Servicios!$E$6:$E$39,J34),SUMIFS(Servicios!$G$6:$G$39,Servicios!$D$6:$D$39,I34,Servicios!$E$6:$E$39,J34)))</f>
        <v>0</v>
      </c>
      <c r="M34" s="25"/>
      <c r="N34" s="24">
        <f t="shared" si="1"/>
        <v>0</v>
      </c>
      <c r="O34" s="25"/>
      <c r="P34" s="25"/>
      <c r="Q34" s="25"/>
      <c r="R34" s="24">
        <f t="shared" si="2"/>
        <v>0</v>
      </c>
      <c r="S34" s="24">
        <f t="shared" si="3"/>
        <v>0</v>
      </c>
      <c r="T34" s="19"/>
      <c r="U34" s="19"/>
      <c r="V34" s="19"/>
      <c r="W34" s="26" t="str">
        <f t="array" ref="W34">IF(H34="","",IFERROR(INDEX(Manicuristas!$D$6:$D$9,MATCH(H34,Manicuristas!$C$6:$C$9,0)),0))</f>
        <v/>
      </c>
      <c r="X34" s="26" t="str">
        <f t="array" ref="X34">IF(H34="","",IFERROR(INDEX(Manicuristas!$E$6:$E$9,MATCH(H34,Manicuristas!$C$6:$C$9,0)),0))</f>
        <v/>
      </c>
      <c r="Y34" s="26" t="str">
        <f t="array" ref="Y34">IF(H34="","",IFERROR(INDEX(Manicuristas!$F$6:$F$9,MATCH(H34,Manicuristas!$C$6:$C$9,0)),0))</f>
        <v/>
      </c>
      <c r="Z34" s="24">
        <f t="shared" si="4"/>
        <v>0</v>
      </c>
      <c r="AA34" s="24">
        <f t="shared" si="5"/>
        <v>0</v>
      </c>
      <c r="AB34" s="24">
        <f t="shared" si="6"/>
        <v>0</v>
      </c>
      <c r="AC34" s="24">
        <f t="shared" si="7"/>
        <v>0</v>
      </c>
      <c r="AD34" s="19"/>
    </row>
    <row r="35" ht="15.75" customHeight="1">
      <c r="B35" s="19"/>
      <c r="C35" s="20"/>
      <c r="D35" s="21"/>
      <c r="E35" s="22"/>
      <c r="F35" s="19"/>
      <c r="G35" s="23" t="str">
        <f t="array" ref="G35">IF(F35="","",IFERROR(INDEX(Clientas!$F$6:$F$55,MATCH(F35,Clientas!$C$6:$C$55,0)),""))</f>
        <v/>
      </c>
      <c r="H35" s="19"/>
      <c r="I35" s="19"/>
      <c r="J35" s="19"/>
      <c r="K35" s="19"/>
      <c r="L35" s="24">
        <f>IF(OR(I35="",J35="",G35=""),0,IF(G35="Local",SUMIFS(Servicios!$F$6:$F$39,Servicios!$D$6:$D$39,I35,Servicios!$E$6:$E$39,J35),SUMIFS(Servicios!$G$6:$G$39,Servicios!$D$6:$D$39,I35,Servicios!$E$6:$E$39,J35)))</f>
        <v>0</v>
      </c>
      <c r="M35" s="25"/>
      <c r="N35" s="24">
        <f t="shared" si="1"/>
        <v>0</v>
      </c>
      <c r="O35" s="25"/>
      <c r="P35" s="25"/>
      <c r="Q35" s="25"/>
      <c r="R35" s="24">
        <f t="shared" si="2"/>
        <v>0</v>
      </c>
      <c r="S35" s="24">
        <f t="shared" si="3"/>
        <v>0</v>
      </c>
      <c r="T35" s="19"/>
      <c r="U35" s="19"/>
      <c r="V35" s="19"/>
      <c r="W35" s="26" t="str">
        <f t="array" ref="W35">IF(H35="","",IFERROR(INDEX(Manicuristas!$D$6:$D$9,MATCH(H35,Manicuristas!$C$6:$C$9,0)),0))</f>
        <v/>
      </c>
      <c r="X35" s="26" t="str">
        <f t="array" ref="X35">IF(H35="","",IFERROR(INDEX(Manicuristas!$E$6:$E$9,MATCH(H35,Manicuristas!$C$6:$C$9,0)),0))</f>
        <v/>
      </c>
      <c r="Y35" s="26" t="str">
        <f t="array" ref="Y35">IF(H35="","",IFERROR(INDEX(Manicuristas!$F$6:$F$9,MATCH(H35,Manicuristas!$C$6:$C$9,0)),0))</f>
        <v/>
      </c>
      <c r="Z35" s="24">
        <f t="shared" si="4"/>
        <v>0</v>
      </c>
      <c r="AA35" s="24">
        <f t="shared" si="5"/>
        <v>0</v>
      </c>
      <c r="AB35" s="24">
        <f t="shared" si="6"/>
        <v>0</v>
      </c>
      <c r="AC35" s="24">
        <f t="shared" si="7"/>
        <v>0</v>
      </c>
      <c r="AD35" s="19"/>
    </row>
    <row r="36" ht="15.75" customHeight="1">
      <c r="B36" s="19"/>
      <c r="C36" s="20"/>
      <c r="D36" s="21"/>
      <c r="E36" s="22"/>
      <c r="F36" s="19"/>
      <c r="G36" s="23" t="str">
        <f t="array" ref="G36">IF(F36="","",IFERROR(INDEX(Clientas!$F$6:$F$55,MATCH(F36,Clientas!$C$6:$C$55,0)),""))</f>
        <v/>
      </c>
      <c r="H36" s="19"/>
      <c r="I36" s="19"/>
      <c r="J36" s="19"/>
      <c r="K36" s="19"/>
      <c r="L36" s="24">
        <f>IF(OR(I36="",J36="",G36=""),0,IF(G36="Local",SUMIFS(Servicios!$F$6:$F$39,Servicios!$D$6:$D$39,I36,Servicios!$E$6:$E$39,J36),SUMIFS(Servicios!$G$6:$G$39,Servicios!$D$6:$D$39,I36,Servicios!$E$6:$E$39,J36)))</f>
        <v>0</v>
      </c>
      <c r="M36" s="25"/>
      <c r="N36" s="24">
        <f t="shared" si="1"/>
        <v>0</v>
      </c>
      <c r="O36" s="25"/>
      <c r="P36" s="25"/>
      <c r="Q36" s="25"/>
      <c r="R36" s="24">
        <f t="shared" si="2"/>
        <v>0</v>
      </c>
      <c r="S36" s="24">
        <f t="shared" si="3"/>
        <v>0</v>
      </c>
      <c r="T36" s="19"/>
      <c r="U36" s="19"/>
      <c r="V36" s="19"/>
      <c r="W36" s="26" t="str">
        <f t="array" ref="W36">IF(H36="","",IFERROR(INDEX(Manicuristas!$D$6:$D$9,MATCH(H36,Manicuristas!$C$6:$C$9,0)),0))</f>
        <v/>
      </c>
      <c r="X36" s="26" t="str">
        <f t="array" ref="X36">IF(H36="","",IFERROR(INDEX(Manicuristas!$E$6:$E$9,MATCH(H36,Manicuristas!$C$6:$C$9,0)),0))</f>
        <v/>
      </c>
      <c r="Y36" s="26" t="str">
        <f t="array" ref="Y36">IF(H36="","",IFERROR(INDEX(Manicuristas!$F$6:$F$9,MATCH(H36,Manicuristas!$C$6:$C$9,0)),0))</f>
        <v/>
      </c>
      <c r="Z36" s="24">
        <f t="shared" si="4"/>
        <v>0</v>
      </c>
      <c r="AA36" s="24">
        <f t="shared" si="5"/>
        <v>0</v>
      </c>
      <c r="AB36" s="24">
        <f t="shared" si="6"/>
        <v>0</v>
      </c>
      <c r="AC36" s="24">
        <f t="shared" si="7"/>
        <v>0</v>
      </c>
      <c r="AD36" s="19"/>
    </row>
    <row r="37" ht="15.75" customHeight="1">
      <c r="B37" s="19"/>
      <c r="C37" s="20"/>
      <c r="D37" s="21"/>
      <c r="E37" s="22"/>
      <c r="F37" s="19"/>
      <c r="G37" s="23" t="str">
        <f t="array" ref="G37">IF(F37="","",IFERROR(INDEX(Clientas!$F$6:$F$55,MATCH(F37,Clientas!$C$6:$C$55,0)),""))</f>
        <v/>
      </c>
      <c r="H37" s="19"/>
      <c r="I37" s="19"/>
      <c r="J37" s="19"/>
      <c r="K37" s="19"/>
      <c r="L37" s="24">
        <f>IF(OR(I37="",J37="",G37=""),0,IF(G37="Local",SUMIFS(Servicios!$F$6:$F$39,Servicios!$D$6:$D$39,I37,Servicios!$E$6:$E$39,J37),SUMIFS(Servicios!$G$6:$G$39,Servicios!$D$6:$D$39,I37,Servicios!$E$6:$E$39,J37)))</f>
        <v>0</v>
      </c>
      <c r="M37" s="25"/>
      <c r="N37" s="24">
        <f t="shared" si="1"/>
        <v>0</v>
      </c>
      <c r="O37" s="25"/>
      <c r="P37" s="25"/>
      <c r="Q37" s="25"/>
      <c r="R37" s="24">
        <f t="shared" si="2"/>
        <v>0</v>
      </c>
      <c r="S37" s="24">
        <f t="shared" si="3"/>
        <v>0</v>
      </c>
      <c r="T37" s="19"/>
      <c r="U37" s="19"/>
      <c r="V37" s="19"/>
      <c r="W37" s="26" t="str">
        <f t="array" ref="W37">IF(H37="","",IFERROR(INDEX(Manicuristas!$D$6:$D$9,MATCH(H37,Manicuristas!$C$6:$C$9,0)),0))</f>
        <v/>
      </c>
      <c r="X37" s="26" t="str">
        <f t="array" ref="X37">IF(H37="","",IFERROR(INDEX(Manicuristas!$E$6:$E$9,MATCH(H37,Manicuristas!$C$6:$C$9,0)),0))</f>
        <v/>
      </c>
      <c r="Y37" s="26" t="str">
        <f t="array" ref="Y37">IF(H37="","",IFERROR(INDEX(Manicuristas!$F$6:$F$9,MATCH(H37,Manicuristas!$C$6:$C$9,0)),0))</f>
        <v/>
      </c>
      <c r="Z37" s="24">
        <f t="shared" si="4"/>
        <v>0</v>
      </c>
      <c r="AA37" s="24">
        <f t="shared" si="5"/>
        <v>0</v>
      </c>
      <c r="AB37" s="24">
        <f t="shared" si="6"/>
        <v>0</v>
      </c>
      <c r="AC37" s="24">
        <f t="shared" si="7"/>
        <v>0</v>
      </c>
      <c r="AD37" s="19"/>
    </row>
    <row r="38" ht="15.75" customHeight="1">
      <c r="B38" s="19"/>
      <c r="C38" s="20"/>
      <c r="D38" s="21"/>
      <c r="E38" s="22"/>
      <c r="F38" s="19"/>
      <c r="G38" s="23" t="str">
        <f t="array" ref="G38">IF(F38="","",IFERROR(INDEX(Clientas!$F$6:$F$55,MATCH(F38,Clientas!$C$6:$C$55,0)),""))</f>
        <v/>
      </c>
      <c r="H38" s="19"/>
      <c r="I38" s="19"/>
      <c r="J38" s="19"/>
      <c r="K38" s="19"/>
      <c r="L38" s="24">
        <f>IF(OR(I38="",J38="",G38=""),0,IF(G38="Local",SUMIFS(Servicios!$F$6:$F$39,Servicios!$D$6:$D$39,I38,Servicios!$E$6:$E$39,J38),SUMIFS(Servicios!$G$6:$G$39,Servicios!$D$6:$D$39,I38,Servicios!$E$6:$E$39,J38)))</f>
        <v>0</v>
      </c>
      <c r="M38" s="25"/>
      <c r="N38" s="24">
        <f t="shared" si="1"/>
        <v>0</v>
      </c>
      <c r="O38" s="25"/>
      <c r="P38" s="25"/>
      <c r="Q38" s="25"/>
      <c r="R38" s="24">
        <f t="shared" si="2"/>
        <v>0</v>
      </c>
      <c r="S38" s="24">
        <f t="shared" si="3"/>
        <v>0</v>
      </c>
      <c r="T38" s="19"/>
      <c r="U38" s="19"/>
      <c r="V38" s="19"/>
      <c r="W38" s="26" t="str">
        <f t="array" ref="W38">IF(H38="","",IFERROR(INDEX(Manicuristas!$D$6:$D$9,MATCH(H38,Manicuristas!$C$6:$C$9,0)),0))</f>
        <v/>
      </c>
      <c r="X38" s="26" t="str">
        <f t="array" ref="X38">IF(H38="","",IFERROR(INDEX(Manicuristas!$E$6:$E$9,MATCH(H38,Manicuristas!$C$6:$C$9,0)),0))</f>
        <v/>
      </c>
      <c r="Y38" s="26" t="str">
        <f t="array" ref="Y38">IF(H38="","",IFERROR(INDEX(Manicuristas!$F$6:$F$9,MATCH(H38,Manicuristas!$C$6:$C$9,0)),0))</f>
        <v/>
      </c>
      <c r="Z38" s="24">
        <f t="shared" si="4"/>
        <v>0</v>
      </c>
      <c r="AA38" s="24">
        <f t="shared" si="5"/>
        <v>0</v>
      </c>
      <c r="AB38" s="24">
        <f t="shared" si="6"/>
        <v>0</v>
      </c>
      <c r="AC38" s="24">
        <f t="shared" si="7"/>
        <v>0</v>
      </c>
      <c r="AD38" s="19"/>
    </row>
    <row r="39" ht="15.75" customHeight="1">
      <c r="B39" s="19"/>
      <c r="C39" s="20"/>
      <c r="D39" s="21"/>
      <c r="E39" s="22"/>
      <c r="F39" s="19"/>
      <c r="G39" s="23" t="str">
        <f t="array" ref="G39">IF(F39="","",IFERROR(INDEX(Clientas!$F$6:$F$55,MATCH(F39,Clientas!$C$6:$C$55,0)),""))</f>
        <v/>
      </c>
      <c r="H39" s="19"/>
      <c r="I39" s="19"/>
      <c r="J39" s="19"/>
      <c r="K39" s="19"/>
      <c r="L39" s="24">
        <f>IF(OR(I39="",J39="",G39=""),0,IF(G39="Local",SUMIFS(Servicios!$F$6:$F$39,Servicios!$D$6:$D$39,I39,Servicios!$E$6:$E$39,J39),SUMIFS(Servicios!$G$6:$G$39,Servicios!$D$6:$D$39,I39,Servicios!$E$6:$E$39,J39)))</f>
        <v>0</v>
      </c>
      <c r="M39" s="25"/>
      <c r="N39" s="24">
        <f t="shared" si="1"/>
        <v>0</v>
      </c>
      <c r="O39" s="25"/>
      <c r="P39" s="25"/>
      <c r="Q39" s="25"/>
      <c r="R39" s="24">
        <f t="shared" si="2"/>
        <v>0</v>
      </c>
      <c r="S39" s="24">
        <f t="shared" si="3"/>
        <v>0</v>
      </c>
      <c r="T39" s="19"/>
      <c r="U39" s="19"/>
      <c r="V39" s="19"/>
      <c r="W39" s="26" t="str">
        <f t="array" ref="W39">IF(H39="","",IFERROR(INDEX(Manicuristas!$D$6:$D$9,MATCH(H39,Manicuristas!$C$6:$C$9,0)),0))</f>
        <v/>
      </c>
      <c r="X39" s="26" t="str">
        <f t="array" ref="X39">IF(H39="","",IFERROR(INDEX(Manicuristas!$E$6:$E$9,MATCH(H39,Manicuristas!$C$6:$C$9,0)),0))</f>
        <v/>
      </c>
      <c r="Y39" s="26" t="str">
        <f t="array" ref="Y39">IF(H39="","",IFERROR(INDEX(Manicuristas!$F$6:$F$9,MATCH(H39,Manicuristas!$C$6:$C$9,0)),0))</f>
        <v/>
      </c>
      <c r="Z39" s="24">
        <f t="shared" si="4"/>
        <v>0</v>
      </c>
      <c r="AA39" s="24">
        <f t="shared" si="5"/>
        <v>0</v>
      </c>
      <c r="AB39" s="24">
        <f t="shared" si="6"/>
        <v>0</v>
      </c>
      <c r="AC39" s="24">
        <f t="shared" si="7"/>
        <v>0</v>
      </c>
      <c r="AD39" s="19"/>
    </row>
    <row r="40" ht="15.75" customHeight="1">
      <c r="B40" s="19"/>
      <c r="C40" s="20"/>
      <c r="D40" s="21"/>
      <c r="E40" s="22"/>
      <c r="F40" s="19"/>
      <c r="G40" s="23" t="str">
        <f t="array" ref="G40">IF(F40="","",IFERROR(INDEX(Clientas!$F$6:$F$55,MATCH(F40,Clientas!$C$6:$C$55,0)),""))</f>
        <v/>
      </c>
      <c r="H40" s="19"/>
      <c r="I40" s="19"/>
      <c r="J40" s="19"/>
      <c r="K40" s="19"/>
      <c r="L40" s="24">
        <f>IF(OR(I40="",J40="",G40=""),0,IF(G40="Local",SUMIFS(Servicios!$F$6:$F$39,Servicios!$D$6:$D$39,I40,Servicios!$E$6:$E$39,J40),SUMIFS(Servicios!$G$6:$G$39,Servicios!$D$6:$D$39,I40,Servicios!$E$6:$E$39,J40)))</f>
        <v>0</v>
      </c>
      <c r="M40" s="25"/>
      <c r="N40" s="24">
        <f t="shared" si="1"/>
        <v>0</v>
      </c>
      <c r="O40" s="25"/>
      <c r="P40" s="25"/>
      <c r="Q40" s="25"/>
      <c r="R40" s="24">
        <f t="shared" si="2"/>
        <v>0</v>
      </c>
      <c r="S40" s="24">
        <f t="shared" si="3"/>
        <v>0</v>
      </c>
      <c r="T40" s="19"/>
      <c r="U40" s="19"/>
      <c r="V40" s="19"/>
      <c r="W40" s="26" t="str">
        <f t="array" ref="W40">IF(H40="","",IFERROR(INDEX(Manicuristas!$D$6:$D$9,MATCH(H40,Manicuristas!$C$6:$C$9,0)),0))</f>
        <v/>
      </c>
      <c r="X40" s="26" t="str">
        <f t="array" ref="X40">IF(H40="","",IFERROR(INDEX(Manicuristas!$E$6:$E$9,MATCH(H40,Manicuristas!$C$6:$C$9,0)),0))</f>
        <v/>
      </c>
      <c r="Y40" s="26" t="str">
        <f t="array" ref="Y40">IF(H40="","",IFERROR(INDEX(Manicuristas!$F$6:$F$9,MATCH(H40,Manicuristas!$C$6:$C$9,0)),0))</f>
        <v/>
      </c>
      <c r="Z40" s="24">
        <f t="shared" si="4"/>
        <v>0</v>
      </c>
      <c r="AA40" s="24">
        <f t="shared" si="5"/>
        <v>0</v>
      </c>
      <c r="AB40" s="24">
        <f t="shared" si="6"/>
        <v>0</v>
      </c>
      <c r="AC40" s="24">
        <f t="shared" si="7"/>
        <v>0</v>
      </c>
      <c r="AD40" s="19"/>
    </row>
    <row r="41" ht="15.75" customHeight="1">
      <c r="B41" s="19"/>
      <c r="C41" s="20"/>
      <c r="D41" s="21"/>
      <c r="E41" s="22"/>
      <c r="F41" s="19"/>
      <c r="G41" s="23" t="str">
        <f t="array" ref="G41">IF(F41="","",IFERROR(INDEX(Clientas!$F$6:$F$55,MATCH(F41,Clientas!$C$6:$C$55,0)),""))</f>
        <v/>
      </c>
      <c r="H41" s="19"/>
      <c r="I41" s="19"/>
      <c r="J41" s="19"/>
      <c r="K41" s="19"/>
      <c r="L41" s="24">
        <f>IF(OR(I41="",J41="",G41=""),0,IF(G41="Local",SUMIFS(Servicios!$F$6:$F$39,Servicios!$D$6:$D$39,I41,Servicios!$E$6:$E$39,J41),SUMIFS(Servicios!$G$6:$G$39,Servicios!$D$6:$D$39,I41,Servicios!$E$6:$E$39,J41)))</f>
        <v>0</v>
      </c>
      <c r="M41" s="25"/>
      <c r="N41" s="24">
        <f t="shared" si="1"/>
        <v>0</v>
      </c>
      <c r="O41" s="25"/>
      <c r="P41" s="25"/>
      <c r="Q41" s="25"/>
      <c r="R41" s="24">
        <f t="shared" si="2"/>
        <v>0</v>
      </c>
      <c r="S41" s="24">
        <f t="shared" si="3"/>
        <v>0</v>
      </c>
      <c r="T41" s="19"/>
      <c r="U41" s="19"/>
      <c r="V41" s="19"/>
      <c r="W41" s="26" t="str">
        <f t="array" ref="W41">IF(H41="","",IFERROR(INDEX(Manicuristas!$D$6:$D$9,MATCH(H41,Manicuristas!$C$6:$C$9,0)),0))</f>
        <v/>
      </c>
      <c r="X41" s="26" t="str">
        <f t="array" ref="X41">IF(H41="","",IFERROR(INDEX(Manicuristas!$E$6:$E$9,MATCH(H41,Manicuristas!$C$6:$C$9,0)),0))</f>
        <v/>
      </c>
      <c r="Y41" s="26" t="str">
        <f t="array" ref="Y41">IF(H41="","",IFERROR(INDEX(Manicuristas!$F$6:$F$9,MATCH(H41,Manicuristas!$C$6:$C$9,0)),0))</f>
        <v/>
      </c>
      <c r="Z41" s="24">
        <f t="shared" si="4"/>
        <v>0</v>
      </c>
      <c r="AA41" s="24">
        <f t="shared" si="5"/>
        <v>0</v>
      </c>
      <c r="AB41" s="24">
        <f t="shared" si="6"/>
        <v>0</v>
      </c>
      <c r="AC41" s="24">
        <f t="shared" si="7"/>
        <v>0</v>
      </c>
      <c r="AD41" s="19"/>
    </row>
    <row r="42" ht="15.75" customHeight="1">
      <c r="B42" s="19"/>
      <c r="C42" s="20"/>
      <c r="D42" s="21"/>
      <c r="E42" s="22"/>
      <c r="F42" s="19"/>
      <c r="G42" s="23" t="str">
        <f t="array" ref="G42">IF(F42="","",IFERROR(INDEX(Clientas!$F$6:$F$55,MATCH(F42,Clientas!$C$6:$C$55,0)),""))</f>
        <v/>
      </c>
      <c r="H42" s="19"/>
      <c r="I42" s="19"/>
      <c r="J42" s="19"/>
      <c r="K42" s="19"/>
      <c r="L42" s="24">
        <f>IF(OR(I42="",J42="",G42=""),0,IF(G42="Local",SUMIFS(Servicios!$F$6:$F$39,Servicios!$D$6:$D$39,I42,Servicios!$E$6:$E$39,J42),SUMIFS(Servicios!$G$6:$G$39,Servicios!$D$6:$D$39,I42,Servicios!$E$6:$E$39,J42)))</f>
        <v>0</v>
      </c>
      <c r="M42" s="25"/>
      <c r="N42" s="24">
        <f t="shared" si="1"/>
        <v>0</v>
      </c>
      <c r="O42" s="25"/>
      <c r="P42" s="25"/>
      <c r="Q42" s="25"/>
      <c r="R42" s="24">
        <f t="shared" si="2"/>
        <v>0</v>
      </c>
      <c r="S42" s="24">
        <f t="shared" si="3"/>
        <v>0</v>
      </c>
      <c r="T42" s="19"/>
      <c r="U42" s="19"/>
      <c r="V42" s="19"/>
      <c r="W42" s="26" t="str">
        <f t="array" ref="W42">IF(H42="","",IFERROR(INDEX(Manicuristas!$D$6:$D$9,MATCH(H42,Manicuristas!$C$6:$C$9,0)),0))</f>
        <v/>
      </c>
      <c r="X42" s="26" t="str">
        <f t="array" ref="X42">IF(H42="","",IFERROR(INDEX(Manicuristas!$E$6:$E$9,MATCH(H42,Manicuristas!$C$6:$C$9,0)),0))</f>
        <v/>
      </c>
      <c r="Y42" s="26" t="str">
        <f t="array" ref="Y42">IF(H42="","",IFERROR(INDEX(Manicuristas!$F$6:$F$9,MATCH(H42,Manicuristas!$C$6:$C$9,0)),0))</f>
        <v/>
      </c>
      <c r="Z42" s="24">
        <f t="shared" si="4"/>
        <v>0</v>
      </c>
      <c r="AA42" s="24">
        <f t="shared" si="5"/>
        <v>0</v>
      </c>
      <c r="AB42" s="24">
        <f t="shared" si="6"/>
        <v>0</v>
      </c>
      <c r="AC42" s="24">
        <f t="shared" si="7"/>
        <v>0</v>
      </c>
      <c r="AD42" s="19"/>
    </row>
    <row r="43" ht="15.75" customHeight="1">
      <c r="B43" s="19"/>
      <c r="C43" s="20"/>
      <c r="D43" s="21"/>
      <c r="E43" s="22"/>
      <c r="F43" s="19"/>
      <c r="G43" s="23" t="str">
        <f t="array" ref="G43">IF(F43="","",IFERROR(INDEX(Clientas!$F$6:$F$55,MATCH(F43,Clientas!$C$6:$C$55,0)),""))</f>
        <v/>
      </c>
      <c r="H43" s="19"/>
      <c r="I43" s="19"/>
      <c r="J43" s="19"/>
      <c r="K43" s="19"/>
      <c r="L43" s="24">
        <f>IF(OR(I43="",J43="",G43=""),0,IF(G43="Local",SUMIFS(Servicios!$F$6:$F$39,Servicios!$D$6:$D$39,I43,Servicios!$E$6:$E$39,J43),SUMIFS(Servicios!$G$6:$G$39,Servicios!$D$6:$D$39,I43,Servicios!$E$6:$E$39,J43)))</f>
        <v>0</v>
      </c>
      <c r="M43" s="25"/>
      <c r="N43" s="24">
        <f t="shared" si="1"/>
        <v>0</v>
      </c>
      <c r="O43" s="25"/>
      <c r="P43" s="25"/>
      <c r="Q43" s="25"/>
      <c r="R43" s="24">
        <f t="shared" si="2"/>
        <v>0</v>
      </c>
      <c r="S43" s="24">
        <f t="shared" si="3"/>
        <v>0</v>
      </c>
      <c r="T43" s="19"/>
      <c r="U43" s="19"/>
      <c r="V43" s="19"/>
      <c r="W43" s="26" t="str">
        <f t="array" ref="W43">IF(H43="","",IFERROR(INDEX(Manicuristas!$D$6:$D$9,MATCH(H43,Manicuristas!$C$6:$C$9,0)),0))</f>
        <v/>
      </c>
      <c r="X43" s="26" t="str">
        <f t="array" ref="X43">IF(H43="","",IFERROR(INDEX(Manicuristas!$E$6:$E$9,MATCH(H43,Manicuristas!$C$6:$C$9,0)),0))</f>
        <v/>
      </c>
      <c r="Y43" s="26" t="str">
        <f t="array" ref="Y43">IF(H43="","",IFERROR(INDEX(Manicuristas!$F$6:$F$9,MATCH(H43,Manicuristas!$C$6:$C$9,0)),0))</f>
        <v/>
      </c>
      <c r="Z43" s="24">
        <f t="shared" si="4"/>
        <v>0</v>
      </c>
      <c r="AA43" s="24">
        <f t="shared" si="5"/>
        <v>0</v>
      </c>
      <c r="AB43" s="24">
        <f t="shared" si="6"/>
        <v>0</v>
      </c>
      <c r="AC43" s="24">
        <f t="shared" si="7"/>
        <v>0</v>
      </c>
      <c r="AD43" s="19"/>
    </row>
    <row r="44" ht="15.75" customHeight="1">
      <c r="B44" s="19"/>
      <c r="C44" s="20"/>
      <c r="D44" s="21"/>
      <c r="E44" s="22"/>
      <c r="F44" s="19"/>
      <c r="G44" s="23" t="str">
        <f t="array" ref="G44">IF(F44="","",IFERROR(INDEX(Clientas!$F$6:$F$55,MATCH(F44,Clientas!$C$6:$C$55,0)),""))</f>
        <v/>
      </c>
      <c r="H44" s="19"/>
      <c r="I44" s="19"/>
      <c r="J44" s="19"/>
      <c r="K44" s="19"/>
      <c r="L44" s="24">
        <f>IF(OR(I44="",J44="",G44=""),0,IF(G44="Local",SUMIFS(Servicios!$F$6:$F$39,Servicios!$D$6:$D$39,I44,Servicios!$E$6:$E$39,J44),SUMIFS(Servicios!$G$6:$G$39,Servicios!$D$6:$D$39,I44,Servicios!$E$6:$E$39,J44)))</f>
        <v>0</v>
      </c>
      <c r="M44" s="25"/>
      <c r="N44" s="24">
        <f t="shared" si="1"/>
        <v>0</v>
      </c>
      <c r="O44" s="25"/>
      <c r="P44" s="25"/>
      <c r="Q44" s="25"/>
      <c r="R44" s="24">
        <f t="shared" si="2"/>
        <v>0</v>
      </c>
      <c r="S44" s="24">
        <f t="shared" si="3"/>
        <v>0</v>
      </c>
      <c r="T44" s="19"/>
      <c r="U44" s="19"/>
      <c r="V44" s="19"/>
      <c r="W44" s="26" t="str">
        <f t="array" ref="W44">IF(H44="","",IFERROR(INDEX(Manicuristas!$D$6:$D$9,MATCH(H44,Manicuristas!$C$6:$C$9,0)),0))</f>
        <v/>
      </c>
      <c r="X44" s="26" t="str">
        <f t="array" ref="X44">IF(H44="","",IFERROR(INDEX(Manicuristas!$E$6:$E$9,MATCH(H44,Manicuristas!$C$6:$C$9,0)),0))</f>
        <v/>
      </c>
      <c r="Y44" s="26" t="str">
        <f t="array" ref="Y44">IF(H44="","",IFERROR(INDEX(Manicuristas!$F$6:$F$9,MATCH(H44,Manicuristas!$C$6:$C$9,0)),0))</f>
        <v/>
      </c>
      <c r="Z44" s="24">
        <f t="shared" si="4"/>
        <v>0</v>
      </c>
      <c r="AA44" s="24">
        <f t="shared" si="5"/>
        <v>0</v>
      </c>
      <c r="AB44" s="24">
        <f t="shared" si="6"/>
        <v>0</v>
      </c>
      <c r="AC44" s="24">
        <f t="shared" si="7"/>
        <v>0</v>
      </c>
      <c r="AD44" s="19"/>
    </row>
    <row r="45" ht="15.75" customHeight="1">
      <c r="B45" s="19"/>
      <c r="C45" s="20"/>
      <c r="D45" s="21"/>
      <c r="E45" s="22"/>
      <c r="F45" s="19"/>
      <c r="G45" s="23" t="str">
        <f t="array" ref="G45">IF(F45="","",IFERROR(INDEX(Clientas!$F$6:$F$55,MATCH(F45,Clientas!$C$6:$C$55,0)),""))</f>
        <v/>
      </c>
      <c r="H45" s="19"/>
      <c r="I45" s="19"/>
      <c r="J45" s="19"/>
      <c r="K45" s="19"/>
      <c r="L45" s="24">
        <f>IF(OR(I45="",J45="",G45=""),0,IF(G45="Local",SUMIFS(Servicios!$F$6:$F$39,Servicios!$D$6:$D$39,I45,Servicios!$E$6:$E$39,J45),SUMIFS(Servicios!$G$6:$G$39,Servicios!$D$6:$D$39,I45,Servicios!$E$6:$E$39,J45)))</f>
        <v>0</v>
      </c>
      <c r="M45" s="25"/>
      <c r="N45" s="24">
        <f t="shared" si="1"/>
        <v>0</v>
      </c>
      <c r="O45" s="25"/>
      <c r="P45" s="25"/>
      <c r="Q45" s="25"/>
      <c r="R45" s="24">
        <f t="shared" si="2"/>
        <v>0</v>
      </c>
      <c r="S45" s="24">
        <f t="shared" si="3"/>
        <v>0</v>
      </c>
      <c r="T45" s="19"/>
      <c r="U45" s="19"/>
      <c r="V45" s="19"/>
      <c r="W45" s="26" t="str">
        <f t="array" ref="W45">IF(H45="","",IFERROR(INDEX(Manicuristas!$D$6:$D$9,MATCH(H45,Manicuristas!$C$6:$C$9,0)),0))</f>
        <v/>
      </c>
      <c r="X45" s="26" t="str">
        <f t="array" ref="X45">IF(H45="","",IFERROR(INDEX(Manicuristas!$E$6:$E$9,MATCH(H45,Manicuristas!$C$6:$C$9,0)),0))</f>
        <v/>
      </c>
      <c r="Y45" s="26" t="str">
        <f t="array" ref="Y45">IF(H45="","",IFERROR(INDEX(Manicuristas!$F$6:$F$9,MATCH(H45,Manicuristas!$C$6:$C$9,0)),0))</f>
        <v/>
      </c>
      <c r="Z45" s="24">
        <f t="shared" si="4"/>
        <v>0</v>
      </c>
      <c r="AA45" s="24">
        <f t="shared" si="5"/>
        <v>0</v>
      </c>
      <c r="AB45" s="24">
        <f t="shared" si="6"/>
        <v>0</v>
      </c>
      <c r="AC45" s="24">
        <f t="shared" si="7"/>
        <v>0</v>
      </c>
      <c r="AD45" s="19"/>
    </row>
    <row r="46" ht="15.75" customHeight="1">
      <c r="B46" s="19"/>
      <c r="C46" s="20"/>
      <c r="D46" s="21"/>
      <c r="E46" s="22"/>
      <c r="F46" s="19"/>
      <c r="G46" s="23" t="str">
        <f t="array" ref="G46">IF(F46="","",IFERROR(INDEX(Clientas!$F$6:$F$55,MATCH(F46,Clientas!$C$6:$C$55,0)),""))</f>
        <v/>
      </c>
      <c r="H46" s="19"/>
      <c r="I46" s="19"/>
      <c r="J46" s="19"/>
      <c r="K46" s="19"/>
      <c r="L46" s="24">
        <f>IF(OR(I46="",J46="",G46=""),0,IF(G46="Local",SUMIFS(Servicios!$F$6:$F$39,Servicios!$D$6:$D$39,I46,Servicios!$E$6:$E$39,J46),SUMIFS(Servicios!$G$6:$G$39,Servicios!$D$6:$D$39,I46,Servicios!$E$6:$E$39,J46)))</f>
        <v>0</v>
      </c>
      <c r="M46" s="25"/>
      <c r="N46" s="24">
        <f t="shared" si="1"/>
        <v>0</v>
      </c>
      <c r="O46" s="25"/>
      <c r="P46" s="25"/>
      <c r="Q46" s="25"/>
      <c r="R46" s="24">
        <f t="shared" si="2"/>
        <v>0</v>
      </c>
      <c r="S46" s="24">
        <f t="shared" si="3"/>
        <v>0</v>
      </c>
      <c r="T46" s="19"/>
      <c r="U46" s="19"/>
      <c r="V46" s="19"/>
      <c r="W46" s="26" t="str">
        <f t="array" ref="W46">IF(H46="","",IFERROR(INDEX(Manicuristas!$D$6:$D$9,MATCH(H46,Manicuristas!$C$6:$C$9,0)),0))</f>
        <v/>
      </c>
      <c r="X46" s="26" t="str">
        <f t="array" ref="X46">IF(H46="","",IFERROR(INDEX(Manicuristas!$E$6:$E$9,MATCH(H46,Manicuristas!$C$6:$C$9,0)),0))</f>
        <v/>
      </c>
      <c r="Y46" s="26" t="str">
        <f t="array" ref="Y46">IF(H46="","",IFERROR(INDEX(Manicuristas!$F$6:$F$9,MATCH(H46,Manicuristas!$C$6:$C$9,0)),0))</f>
        <v/>
      </c>
      <c r="Z46" s="24">
        <f t="shared" si="4"/>
        <v>0</v>
      </c>
      <c r="AA46" s="24">
        <f t="shared" si="5"/>
        <v>0</v>
      </c>
      <c r="AB46" s="24">
        <f t="shared" si="6"/>
        <v>0</v>
      </c>
      <c r="AC46" s="24">
        <f t="shared" si="7"/>
        <v>0</v>
      </c>
      <c r="AD46" s="19"/>
    </row>
    <row r="47" ht="15.75" customHeight="1">
      <c r="B47" s="19"/>
      <c r="C47" s="20"/>
      <c r="D47" s="21"/>
      <c r="E47" s="22"/>
      <c r="F47" s="19"/>
      <c r="G47" s="23" t="str">
        <f t="array" ref="G47">IF(F47="","",IFERROR(INDEX(Clientas!$F$6:$F$55,MATCH(F47,Clientas!$C$6:$C$55,0)),""))</f>
        <v/>
      </c>
      <c r="H47" s="19"/>
      <c r="I47" s="19"/>
      <c r="J47" s="19"/>
      <c r="K47" s="19"/>
      <c r="L47" s="24">
        <f>IF(OR(I47="",J47="",G47=""),0,IF(G47="Local",SUMIFS(Servicios!$F$6:$F$39,Servicios!$D$6:$D$39,I47,Servicios!$E$6:$E$39,J47),SUMIFS(Servicios!$G$6:$G$39,Servicios!$D$6:$D$39,I47,Servicios!$E$6:$E$39,J47)))</f>
        <v>0</v>
      </c>
      <c r="M47" s="25"/>
      <c r="N47" s="24">
        <f t="shared" si="1"/>
        <v>0</v>
      </c>
      <c r="O47" s="25"/>
      <c r="P47" s="25"/>
      <c r="Q47" s="25"/>
      <c r="R47" s="24">
        <f t="shared" si="2"/>
        <v>0</v>
      </c>
      <c r="S47" s="24">
        <f t="shared" si="3"/>
        <v>0</v>
      </c>
      <c r="T47" s="19"/>
      <c r="U47" s="19"/>
      <c r="V47" s="19"/>
      <c r="W47" s="26" t="str">
        <f t="array" ref="W47">IF(H47="","",IFERROR(INDEX(Manicuristas!$D$6:$D$9,MATCH(H47,Manicuristas!$C$6:$C$9,0)),0))</f>
        <v/>
      </c>
      <c r="X47" s="26" t="str">
        <f t="array" ref="X47">IF(H47="","",IFERROR(INDEX(Manicuristas!$E$6:$E$9,MATCH(H47,Manicuristas!$C$6:$C$9,0)),0))</f>
        <v/>
      </c>
      <c r="Y47" s="26" t="str">
        <f t="array" ref="Y47">IF(H47="","",IFERROR(INDEX(Manicuristas!$F$6:$F$9,MATCH(H47,Manicuristas!$C$6:$C$9,0)),0))</f>
        <v/>
      </c>
      <c r="Z47" s="24">
        <f t="shared" si="4"/>
        <v>0</v>
      </c>
      <c r="AA47" s="24">
        <f t="shared" si="5"/>
        <v>0</v>
      </c>
      <c r="AB47" s="24">
        <f t="shared" si="6"/>
        <v>0</v>
      </c>
      <c r="AC47" s="24">
        <f t="shared" si="7"/>
        <v>0</v>
      </c>
      <c r="AD47" s="19"/>
    </row>
    <row r="48" ht="15.75" customHeight="1">
      <c r="B48" s="19"/>
      <c r="C48" s="20"/>
      <c r="D48" s="21"/>
      <c r="E48" s="22"/>
      <c r="F48" s="19"/>
      <c r="G48" s="23" t="str">
        <f t="array" ref="G48">IF(F48="","",IFERROR(INDEX(Clientas!$F$6:$F$55,MATCH(F48,Clientas!$C$6:$C$55,0)),""))</f>
        <v/>
      </c>
      <c r="H48" s="19"/>
      <c r="I48" s="19"/>
      <c r="J48" s="19"/>
      <c r="K48" s="19"/>
      <c r="L48" s="24">
        <f>IF(OR(I48="",J48="",G48=""),0,IF(G48="Local",SUMIFS(Servicios!$F$6:$F$39,Servicios!$D$6:$D$39,I48,Servicios!$E$6:$E$39,J48),SUMIFS(Servicios!$G$6:$G$39,Servicios!$D$6:$D$39,I48,Servicios!$E$6:$E$39,J48)))</f>
        <v>0</v>
      </c>
      <c r="M48" s="25"/>
      <c r="N48" s="24">
        <f t="shared" si="1"/>
        <v>0</v>
      </c>
      <c r="O48" s="25"/>
      <c r="P48" s="25"/>
      <c r="Q48" s="25"/>
      <c r="R48" s="24">
        <f t="shared" si="2"/>
        <v>0</v>
      </c>
      <c r="S48" s="24">
        <f t="shared" si="3"/>
        <v>0</v>
      </c>
      <c r="T48" s="19"/>
      <c r="U48" s="19"/>
      <c r="V48" s="19"/>
      <c r="W48" s="26" t="str">
        <f t="array" ref="W48">IF(H48="","",IFERROR(INDEX(Manicuristas!$D$6:$D$9,MATCH(H48,Manicuristas!$C$6:$C$9,0)),0))</f>
        <v/>
      </c>
      <c r="X48" s="26" t="str">
        <f t="array" ref="X48">IF(H48="","",IFERROR(INDEX(Manicuristas!$E$6:$E$9,MATCH(H48,Manicuristas!$C$6:$C$9,0)),0))</f>
        <v/>
      </c>
      <c r="Y48" s="26" t="str">
        <f t="array" ref="Y48">IF(H48="","",IFERROR(INDEX(Manicuristas!$F$6:$F$9,MATCH(H48,Manicuristas!$C$6:$C$9,0)),0))</f>
        <v/>
      </c>
      <c r="Z48" s="24">
        <f t="shared" si="4"/>
        <v>0</v>
      </c>
      <c r="AA48" s="24">
        <f t="shared" si="5"/>
        <v>0</v>
      </c>
      <c r="AB48" s="24">
        <f t="shared" si="6"/>
        <v>0</v>
      </c>
      <c r="AC48" s="24">
        <f t="shared" si="7"/>
        <v>0</v>
      </c>
      <c r="AD48" s="19"/>
    </row>
    <row r="49" ht="15.75" customHeight="1">
      <c r="B49" s="19"/>
      <c r="C49" s="20"/>
      <c r="D49" s="21"/>
      <c r="E49" s="22"/>
      <c r="F49" s="19"/>
      <c r="G49" s="23" t="str">
        <f t="array" ref="G49">IF(F49="","",IFERROR(INDEX(Clientas!$F$6:$F$55,MATCH(F49,Clientas!$C$6:$C$55,0)),""))</f>
        <v/>
      </c>
      <c r="H49" s="19"/>
      <c r="I49" s="19"/>
      <c r="J49" s="19"/>
      <c r="K49" s="19"/>
      <c r="L49" s="24">
        <f>IF(OR(I49="",J49="",G49=""),0,IF(G49="Local",SUMIFS(Servicios!$F$6:$F$39,Servicios!$D$6:$D$39,I49,Servicios!$E$6:$E$39,J49),SUMIFS(Servicios!$G$6:$G$39,Servicios!$D$6:$D$39,I49,Servicios!$E$6:$E$39,J49)))</f>
        <v>0</v>
      </c>
      <c r="M49" s="25"/>
      <c r="N49" s="24">
        <f t="shared" si="1"/>
        <v>0</v>
      </c>
      <c r="O49" s="25"/>
      <c r="P49" s="25"/>
      <c r="Q49" s="25"/>
      <c r="R49" s="24">
        <f t="shared" si="2"/>
        <v>0</v>
      </c>
      <c r="S49" s="24">
        <f t="shared" si="3"/>
        <v>0</v>
      </c>
      <c r="T49" s="19"/>
      <c r="U49" s="19"/>
      <c r="V49" s="19"/>
      <c r="W49" s="26" t="str">
        <f t="array" ref="W49">IF(H49="","",IFERROR(INDEX(Manicuristas!$D$6:$D$9,MATCH(H49,Manicuristas!$C$6:$C$9,0)),0))</f>
        <v/>
      </c>
      <c r="X49" s="26" t="str">
        <f t="array" ref="X49">IF(H49="","",IFERROR(INDEX(Manicuristas!$E$6:$E$9,MATCH(H49,Manicuristas!$C$6:$C$9,0)),0))</f>
        <v/>
      </c>
      <c r="Y49" s="26" t="str">
        <f t="array" ref="Y49">IF(H49="","",IFERROR(INDEX(Manicuristas!$F$6:$F$9,MATCH(H49,Manicuristas!$C$6:$C$9,0)),0))</f>
        <v/>
      </c>
      <c r="Z49" s="24">
        <f t="shared" si="4"/>
        <v>0</v>
      </c>
      <c r="AA49" s="24">
        <f t="shared" si="5"/>
        <v>0</v>
      </c>
      <c r="AB49" s="24">
        <f t="shared" si="6"/>
        <v>0</v>
      </c>
      <c r="AC49" s="24">
        <f t="shared" si="7"/>
        <v>0</v>
      </c>
      <c r="AD49" s="19"/>
    </row>
    <row r="50" ht="15.75" customHeight="1">
      <c r="B50" s="19"/>
      <c r="C50" s="20"/>
      <c r="D50" s="21"/>
      <c r="E50" s="22"/>
      <c r="F50" s="19"/>
      <c r="G50" s="23" t="str">
        <f t="array" ref="G50">IF(F50="","",IFERROR(INDEX(Clientas!$F$6:$F$55,MATCH(F50,Clientas!$C$6:$C$55,0)),""))</f>
        <v/>
      </c>
      <c r="H50" s="19"/>
      <c r="I50" s="19"/>
      <c r="J50" s="19"/>
      <c r="K50" s="19"/>
      <c r="L50" s="24">
        <f>IF(OR(I50="",J50="",G50=""),0,IF(G50="Local",SUMIFS(Servicios!$F$6:$F$39,Servicios!$D$6:$D$39,I50,Servicios!$E$6:$E$39,J50),SUMIFS(Servicios!$G$6:$G$39,Servicios!$D$6:$D$39,I50,Servicios!$E$6:$E$39,J50)))</f>
        <v>0</v>
      </c>
      <c r="M50" s="25"/>
      <c r="N50" s="24">
        <f t="shared" si="1"/>
        <v>0</v>
      </c>
      <c r="O50" s="25"/>
      <c r="P50" s="25"/>
      <c r="Q50" s="25"/>
      <c r="R50" s="24">
        <f t="shared" si="2"/>
        <v>0</v>
      </c>
      <c r="S50" s="24">
        <f t="shared" si="3"/>
        <v>0</v>
      </c>
      <c r="T50" s="19"/>
      <c r="U50" s="19"/>
      <c r="V50" s="19"/>
      <c r="W50" s="26" t="str">
        <f t="array" ref="W50">IF(H50="","",IFERROR(INDEX(Manicuristas!$D$6:$D$9,MATCH(H50,Manicuristas!$C$6:$C$9,0)),0))</f>
        <v/>
      </c>
      <c r="X50" s="26" t="str">
        <f t="array" ref="X50">IF(H50="","",IFERROR(INDEX(Manicuristas!$E$6:$E$9,MATCH(H50,Manicuristas!$C$6:$C$9,0)),0))</f>
        <v/>
      </c>
      <c r="Y50" s="26" t="str">
        <f t="array" ref="Y50">IF(H50="","",IFERROR(INDEX(Manicuristas!$F$6:$F$9,MATCH(H50,Manicuristas!$C$6:$C$9,0)),0))</f>
        <v/>
      </c>
      <c r="Z50" s="24">
        <f t="shared" si="4"/>
        <v>0</v>
      </c>
      <c r="AA50" s="24">
        <f t="shared" si="5"/>
        <v>0</v>
      </c>
      <c r="AB50" s="24">
        <f t="shared" si="6"/>
        <v>0</v>
      </c>
      <c r="AC50" s="24">
        <f t="shared" si="7"/>
        <v>0</v>
      </c>
      <c r="AD50" s="19"/>
    </row>
    <row r="51" ht="15.75" customHeight="1">
      <c r="B51" s="19"/>
      <c r="C51" s="20"/>
      <c r="D51" s="21"/>
      <c r="E51" s="22"/>
      <c r="F51" s="19"/>
      <c r="G51" s="23" t="str">
        <f t="array" ref="G51">IF(F51="","",IFERROR(INDEX(Clientas!$F$6:$F$55,MATCH(F51,Clientas!$C$6:$C$55,0)),""))</f>
        <v/>
      </c>
      <c r="H51" s="19"/>
      <c r="I51" s="19"/>
      <c r="J51" s="19"/>
      <c r="K51" s="19"/>
      <c r="L51" s="24">
        <f>IF(OR(I51="",J51="",G51=""),0,IF(G51="Local",SUMIFS(Servicios!$F$6:$F$39,Servicios!$D$6:$D$39,I51,Servicios!$E$6:$E$39,J51),SUMIFS(Servicios!$G$6:$G$39,Servicios!$D$6:$D$39,I51,Servicios!$E$6:$E$39,J51)))</f>
        <v>0</v>
      </c>
      <c r="M51" s="25"/>
      <c r="N51" s="24">
        <f t="shared" si="1"/>
        <v>0</v>
      </c>
      <c r="O51" s="25"/>
      <c r="P51" s="25"/>
      <c r="Q51" s="25"/>
      <c r="R51" s="24">
        <f t="shared" si="2"/>
        <v>0</v>
      </c>
      <c r="S51" s="24">
        <f t="shared" si="3"/>
        <v>0</v>
      </c>
      <c r="T51" s="19"/>
      <c r="U51" s="19"/>
      <c r="V51" s="19"/>
      <c r="W51" s="26" t="str">
        <f t="array" ref="W51">IF(H51="","",IFERROR(INDEX(Manicuristas!$D$6:$D$9,MATCH(H51,Manicuristas!$C$6:$C$9,0)),0))</f>
        <v/>
      </c>
      <c r="X51" s="26" t="str">
        <f t="array" ref="X51">IF(H51="","",IFERROR(INDEX(Manicuristas!$E$6:$E$9,MATCH(H51,Manicuristas!$C$6:$C$9,0)),0))</f>
        <v/>
      </c>
      <c r="Y51" s="26" t="str">
        <f t="array" ref="Y51">IF(H51="","",IFERROR(INDEX(Manicuristas!$F$6:$F$9,MATCH(H51,Manicuristas!$C$6:$C$9,0)),0))</f>
        <v/>
      </c>
      <c r="Z51" s="24">
        <f t="shared" si="4"/>
        <v>0</v>
      </c>
      <c r="AA51" s="24">
        <f t="shared" si="5"/>
        <v>0</v>
      </c>
      <c r="AB51" s="24">
        <f t="shared" si="6"/>
        <v>0</v>
      </c>
      <c r="AC51" s="24">
        <f t="shared" si="7"/>
        <v>0</v>
      </c>
      <c r="AD51" s="19"/>
    </row>
    <row r="52" ht="15.75" customHeight="1">
      <c r="B52" s="19"/>
      <c r="C52" s="20"/>
      <c r="D52" s="21"/>
      <c r="E52" s="22"/>
      <c r="F52" s="19"/>
      <c r="G52" s="23" t="str">
        <f t="array" ref="G52">IF(F52="","",IFERROR(INDEX(Clientas!$F$6:$F$55,MATCH(F52,Clientas!$C$6:$C$55,0)),""))</f>
        <v/>
      </c>
      <c r="H52" s="19"/>
      <c r="I52" s="19"/>
      <c r="J52" s="19"/>
      <c r="K52" s="19"/>
      <c r="L52" s="24">
        <f>IF(OR(I52="",J52="",G52=""),0,IF(G52="Local",SUMIFS(Servicios!$F$6:$F$39,Servicios!$D$6:$D$39,I52,Servicios!$E$6:$E$39,J52),SUMIFS(Servicios!$G$6:$G$39,Servicios!$D$6:$D$39,I52,Servicios!$E$6:$E$39,J52)))</f>
        <v>0</v>
      </c>
      <c r="M52" s="25"/>
      <c r="N52" s="24">
        <f t="shared" si="1"/>
        <v>0</v>
      </c>
      <c r="O52" s="25"/>
      <c r="P52" s="25"/>
      <c r="Q52" s="25"/>
      <c r="R52" s="24">
        <f t="shared" si="2"/>
        <v>0</v>
      </c>
      <c r="S52" s="24">
        <f t="shared" si="3"/>
        <v>0</v>
      </c>
      <c r="T52" s="19"/>
      <c r="U52" s="19"/>
      <c r="V52" s="19"/>
      <c r="W52" s="26" t="str">
        <f t="array" ref="W52">IF(H52="","",IFERROR(INDEX(Manicuristas!$D$6:$D$9,MATCH(H52,Manicuristas!$C$6:$C$9,0)),0))</f>
        <v/>
      </c>
      <c r="X52" s="26" t="str">
        <f t="array" ref="X52">IF(H52="","",IFERROR(INDEX(Manicuristas!$E$6:$E$9,MATCH(H52,Manicuristas!$C$6:$C$9,0)),0))</f>
        <v/>
      </c>
      <c r="Y52" s="26" t="str">
        <f t="array" ref="Y52">IF(H52="","",IFERROR(INDEX(Manicuristas!$F$6:$F$9,MATCH(H52,Manicuristas!$C$6:$C$9,0)),0))</f>
        <v/>
      </c>
      <c r="Z52" s="24">
        <f t="shared" si="4"/>
        <v>0</v>
      </c>
      <c r="AA52" s="24">
        <f t="shared" si="5"/>
        <v>0</v>
      </c>
      <c r="AB52" s="24">
        <f t="shared" si="6"/>
        <v>0</v>
      </c>
      <c r="AC52" s="24">
        <f t="shared" si="7"/>
        <v>0</v>
      </c>
      <c r="AD52" s="19"/>
    </row>
    <row r="53" ht="15.75" customHeight="1">
      <c r="B53" s="19"/>
      <c r="C53" s="20"/>
      <c r="D53" s="21"/>
      <c r="E53" s="22"/>
      <c r="F53" s="19"/>
      <c r="G53" s="23" t="str">
        <f t="array" ref="G53">IF(F53="","",IFERROR(INDEX(Clientas!$F$6:$F$55,MATCH(F53,Clientas!$C$6:$C$55,0)),""))</f>
        <v/>
      </c>
      <c r="H53" s="19"/>
      <c r="I53" s="19"/>
      <c r="J53" s="19"/>
      <c r="K53" s="19"/>
      <c r="L53" s="24">
        <f>IF(OR(I53="",J53="",G53=""),0,IF(G53="Local",SUMIFS(Servicios!$F$6:$F$39,Servicios!$D$6:$D$39,I53,Servicios!$E$6:$E$39,J53),SUMIFS(Servicios!$G$6:$G$39,Servicios!$D$6:$D$39,I53,Servicios!$E$6:$E$39,J53)))</f>
        <v>0</v>
      </c>
      <c r="M53" s="25"/>
      <c r="N53" s="24">
        <f t="shared" si="1"/>
        <v>0</v>
      </c>
      <c r="O53" s="25"/>
      <c r="P53" s="25"/>
      <c r="Q53" s="25"/>
      <c r="R53" s="24">
        <f t="shared" si="2"/>
        <v>0</v>
      </c>
      <c r="S53" s="24">
        <f t="shared" si="3"/>
        <v>0</v>
      </c>
      <c r="T53" s="19"/>
      <c r="U53" s="19"/>
      <c r="V53" s="19"/>
      <c r="W53" s="26" t="str">
        <f t="array" ref="W53">IF(H53="","",IFERROR(INDEX(Manicuristas!$D$6:$D$9,MATCH(H53,Manicuristas!$C$6:$C$9,0)),0))</f>
        <v/>
      </c>
      <c r="X53" s="26" t="str">
        <f t="array" ref="X53">IF(H53="","",IFERROR(INDEX(Manicuristas!$E$6:$E$9,MATCH(H53,Manicuristas!$C$6:$C$9,0)),0))</f>
        <v/>
      </c>
      <c r="Y53" s="26" t="str">
        <f t="array" ref="Y53">IF(H53="","",IFERROR(INDEX(Manicuristas!$F$6:$F$9,MATCH(H53,Manicuristas!$C$6:$C$9,0)),0))</f>
        <v/>
      </c>
      <c r="Z53" s="24">
        <f t="shared" si="4"/>
        <v>0</v>
      </c>
      <c r="AA53" s="24">
        <f t="shared" si="5"/>
        <v>0</v>
      </c>
      <c r="AB53" s="24">
        <f t="shared" si="6"/>
        <v>0</v>
      </c>
      <c r="AC53" s="24">
        <f t="shared" si="7"/>
        <v>0</v>
      </c>
      <c r="AD53" s="19"/>
    </row>
    <row r="54" ht="15.75" customHeight="1">
      <c r="B54" s="19"/>
      <c r="C54" s="20"/>
      <c r="D54" s="21"/>
      <c r="E54" s="22"/>
      <c r="F54" s="19"/>
      <c r="G54" s="23" t="str">
        <f t="array" ref="G54">IF(F54="","",IFERROR(INDEX(Clientas!$F$6:$F$55,MATCH(F54,Clientas!$C$6:$C$55,0)),""))</f>
        <v/>
      </c>
      <c r="H54" s="19"/>
      <c r="I54" s="19"/>
      <c r="J54" s="19"/>
      <c r="K54" s="19"/>
      <c r="L54" s="24">
        <f>IF(OR(I54="",J54="",G54=""),0,IF(G54="Local",SUMIFS(Servicios!$F$6:$F$39,Servicios!$D$6:$D$39,I54,Servicios!$E$6:$E$39,J54),SUMIFS(Servicios!$G$6:$G$39,Servicios!$D$6:$D$39,I54,Servicios!$E$6:$E$39,J54)))</f>
        <v>0</v>
      </c>
      <c r="M54" s="25"/>
      <c r="N54" s="24">
        <f t="shared" si="1"/>
        <v>0</v>
      </c>
      <c r="O54" s="25"/>
      <c r="P54" s="25"/>
      <c r="Q54" s="25"/>
      <c r="R54" s="24">
        <f t="shared" si="2"/>
        <v>0</v>
      </c>
      <c r="S54" s="24">
        <f t="shared" si="3"/>
        <v>0</v>
      </c>
      <c r="T54" s="19"/>
      <c r="U54" s="19"/>
      <c r="V54" s="19"/>
      <c r="W54" s="26" t="str">
        <f t="array" ref="W54">IF(H54="","",IFERROR(INDEX(Manicuristas!$D$6:$D$9,MATCH(H54,Manicuristas!$C$6:$C$9,0)),0))</f>
        <v/>
      </c>
      <c r="X54" s="26" t="str">
        <f t="array" ref="X54">IF(H54="","",IFERROR(INDEX(Manicuristas!$E$6:$E$9,MATCH(H54,Manicuristas!$C$6:$C$9,0)),0))</f>
        <v/>
      </c>
      <c r="Y54" s="26" t="str">
        <f t="array" ref="Y54">IF(H54="","",IFERROR(INDEX(Manicuristas!$F$6:$F$9,MATCH(H54,Manicuristas!$C$6:$C$9,0)),0))</f>
        <v/>
      </c>
      <c r="Z54" s="24">
        <f t="shared" si="4"/>
        <v>0</v>
      </c>
      <c r="AA54" s="24">
        <f t="shared" si="5"/>
        <v>0</v>
      </c>
      <c r="AB54" s="24">
        <f t="shared" si="6"/>
        <v>0</v>
      </c>
      <c r="AC54" s="24">
        <f t="shared" si="7"/>
        <v>0</v>
      </c>
      <c r="AD54" s="19"/>
    </row>
    <row r="55" ht="15.75" customHeight="1">
      <c r="B55" s="19"/>
      <c r="C55" s="20"/>
      <c r="D55" s="21"/>
      <c r="E55" s="22"/>
      <c r="F55" s="19"/>
      <c r="G55" s="23" t="str">
        <f t="array" ref="G55">IF(F55="","",IFERROR(INDEX(Clientas!$F$6:$F$55,MATCH(F55,Clientas!$C$6:$C$55,0)),""))</f>
        <v/>
      </c>
      <c r="H55" s="19"/>
      <c r="I55" s="19"/>
      <c r="J55" s="19"/>
      <c r="K55" s="19"/>
      <c r="L55" s="24">
        <f>IF(OR(I55="",J55="",G55=""),0,IF(G55="Local",SUMIFS(Servicios!$F$6:$F$39,Servicios!$D$6:$D$39,I55,Servicios!$E$6:$E$39,J55),SUMIFS(Servicios!$G$6:$G$39,Servicios!$D$6:$D$39,I55,Servicios!$E$6:$E$39,J55)))</f>
        <v>0</v>
      </c>
      <c r="M55" s="25"/>
      <c r="N55" s="24">
        <f t="shared" si="1"/>
        <v>0</v>
      </c>
      <c r="O55" s="25"/>
      <c r="P55" s="25"/>
      <c r="Q55" s="25"/>
      <c r="R55" s="24">
        <f t="shared" si="2"/>
        <v>0</v>
      </c>
      <c r="S55" s="24">
        <f t="shared" si="3"/>
        <v>0</v>
      </c>
      <c r="T55" s="19"/>
      <c r="U55" s="19"/>
      <c r="V55" s="19"/>
      <c r="W55" s="26" t="str">
        <f t="array" ref="W55">IF(H55="","",IFERROR(INDEX(Manicuristas!$D$6:$D$9,MATCH(H55,Manicuristas!$C$6:$C$9,0)),0))</f>
        <v/>
      </c>
      <c r="X55" s="26" t="str">
        <f t="array" ref="X55">IF(H55="","",IFERROR(INDEX(Manicuristas!$E$6:$E$9,MATCH(H55,Manicuristas!$C$6:$C$9,0)),0))</f>
        <v/>
      </c>
      <c r="Y55" s="26" t="str">
        <f t="array" ref="Y55">IF(H55="","",IFERROR(INDEX(Manicuristas!$F$6:$F$9,MATCH(H55,Manicuristas!$C$6:$C$9,0)),0))</f>
        <v/>
      </c>
      <c r="Z55" s="24">
        <f t="shared" si="4"/>
        <v>0</v>
      </c>
      <c r="AA55" s="24">
        <f t="shared" si="5"/>
        <v>0</v>
      </c>
      <c r="AB55" s="24">
        <f t="shared" si="6"/>
        <v>0</v>
      </c>
      <c r="AC55" s="24">
        <f t="shared" si="7"/>
        <v>0</v>
      </c>
      <c r="AD55" s="19"/>
    </row>
    <row r="56" ht="15.75" customHeight="1">
      <c r="B56" s="19"/>
      <c r="C56" s="20"/>
      <c r="D56" s="21"/>
      <c r="E56" s="22"/>
      <c r="F56" s="19"/>
      <c r="G56" s="23" t="str">
        <f t="array" ref="G56">IF(F56="","",IFERROR(INDEX(Clientas!$F$6:$F$55,MATCH(F56,Clientas!$C$6:$C$55,0)),""))</f>
        <v/>
      </c>
      <c r="H56" s="19"/>
      <c r="I56" s="19"/>
      <c r="J56" s="19"/>
      <c r="K56" s="19"/>
      <c r="L56" s="24">
        <f>IF(OR(I56="",J56="",G56=""),0,IF(G56="Local",SUMIFS(Servicios!$F$6:$F$39,Servicios!$D$6:$D$39,I56,Servicios!$E$6:$E$39,J56),SUMIFS(Servicios!$G$6:$G$39,Servicios!$D$6:$D$39,I56,Servicios!$E$6:$E$39,J56)))</f>
        <v>0</v>
      </c>
      <c r="M56" s="25"/>
      <c r="N56" s="24">
        <f t="shared" si="1"/>
        <v>0</v>
      </c>
      <c r="O56" s="25"/>
      <c r="P56" s="25"/>
      <c r="Q56" s="25"/>
      <c r="R56" s="24">
        <f t="shared" si="2"/>
        <v>0</v>
      </c>
      <c r="S56" s="24">
        <f t="shared" si="3"/>
        <v>0</v>
      </c>
      <c r="T56" s="19"/>
      <c r="U56" s="19"/>
      <c r="V56" s="19"/>
      <c r="W56" s="26" t="str">
        <f t="array" ref="W56">IF(H56="","",IFERROR(INDEX(Manicuristas!$D$6:$D$9,MATCH(H56,Manicuristas!$C$6:$C$9,0)),0))</f>
        <v/>
      </c>
      <c r="X56" s="26" t="str">
        <f t="array" ref="X56">IF(H56="","",IFERROR(INDEX(Manicuristas!$E$6:$E$9,MATCH(H56,Manicuristas!$C$6:$C$9,0)),0))</f>
        <v/>
      </c>
      <c r="Y56" s="26" t="str">
        <f t="array" ref="Y56">IF(H56="","",IFERROR(INDEX(Manicuristas!$F$6:$F$9,MATCH(H56,Manicuristas!$C$6:$C$9,0)),0))</f>
        <v/>
      </c>
      <c r="Z56" s="24">
        <f t="shared" si="4"/>
        <v>0</v>
      </c>
      <c r="AA56" s="24">
        <f t="shared" si="5"/>
        <v>0</v>
      </c>
      <c r="AB56" s="24">
        <f t="shared" si="6"/>
        <v>0</v>
      </c>
      <c r="AC56" s="24">
        <f t="shared" si="7"/>
        <v>0</v>
      </c>
      <c r="AD56" s="19"/>
    </row>
    <row r="57" ht="15.75" customHeight="1">
      <c r="B57" s="19"/>
      <c r="C57" s="20"/>
      <c r="D57" s="21"/>
      <c r="E57" s="22"/>
      <c r="F57" s="19"/>
      <c r="G57" s="23" t="str">
        <f t="array" ref="G57">IF(F57="","",IFERROR(INDEX(Clientas!$F$6:$F$55,MATCH(F57,Clientas!$C$6:$C$55,0)),""))</f>
        <v/>
      </c>
      <c r="H57" s="19"/>
      <c r="I57" s="19"/>
      <c r="J57" s="19"/>
      <c r="K57" s="19"/>
      <c r="L57" s="24">
        <f>IF(OR(I57="",J57="",G57=""),0,IF(G57="Local",SUMIFS(Servicios!$F$6:$F$39,Servicios!$D$6:$D$39,I57,Servicios!$E$6:$E$39,J57),SUMIFS(Servicios!$G$6:$G$39,Servicios!$D$6:$D$39,I57,Servicios!$E$6:$E$39,J57)))</f>
        <v>0</v>
      </c>
      <c r="M57" s="25"/>
      <c r="N57" s="24">
        <f t="shared" si="1"/>
        <v>0</v>
      </c>
      <c r="O57" s="25"/>
      <c r="P57" s="25"/>
      <c r="Q57" s="25"/>
      <c r="R57" s="24">
        <f t="shared" si="2"/>
        <v>0</v>
      </c>
      <c r="S57" s="24">
        <f t="shared" si="3"/>
        <v>0</v>
      </c>
      <c r="T57" s="19"/>
      <c r="U57" s="19"/>
      <c r="V57" s="19"/>
      <c r="W57" s="26" t="str">
        <f t="array" ref="W57">IF(H57="","",IFERROR(INDEX(Manicuristas!$D$6:$D$9,MATCH(H57,Manicuristas!$C$6:$C$9,0)),0))</f>
        <v/>
      </c>
      <c r="X57" s="26" t="str">
        <f t="array" ref="X57">IF(H57="","",IFERROR(INDEX(Manicuristas!$E$6:$E$9,MATCH(H57,Manicuristas!$C$6:$C$9,0)),0))</f>
        <v/>
      </c>
      <c r="Y57" s="26" t="str">
        <f t="array" ref="Y57">IF(H57="","",IFERROR(INDEX(Manicuristas!$F$6:$F$9,MATCH(H57,Manicuristas!$C$6:$C$9,0)),0))</f>
        <v/>
      </c>
      <c r="Z57" s="24">
        <f t="shared" si="4"/>
        <v>0</v>
      </c>
      <c r="AA57" s="24">
        <f t="shared" si="5"/>
        <v>0</v>
      </c>
      <c r="AB57" s="24">
        <f t="shared" si="6"/>
        <v>0</v>
      </c>
      <c r="AC57" s="24">
        <f t="shared" si="7"/>
        <v>0</v>
      </c>
      <c r="AD57" s="19"/>
    </row>
    <row r="58" ht="15.75" customHeight="1">
      <c r="B58" s="19"/>
      <c r="C58" s="20"/>
      <c r="D58" s="21"/>
      <c r="E58" s="22"/>
      <c r="F58" s="19"/>
      <c r="G58" s="23" t="str">
        <f t="array" ref="G58">IF(F58="","",IFERROR(INDEX(Clientas!$F$6:$F$55,MATCH(F58,Clientas!$C$6:$C$55,0)),""))</f>
        <v/>
      </c>
      <c r="H58" s="19"/>
      <c r="I58" s="19"/>
      <c r="J58" s="19"/>
      <c r="K58" s="19"/>
      <c r="L58" s="24">
        <f>IF(OR(I58="",J58="",G58=""),0,IF(G58="Local",SUMIFS(Servicios!$F$6:$F$39,Servicios!$D$6:$D$39,I58,Servicios!$E$6:$E$39,J58),SUMIFS(Servicios!$G$6:$G$39,Servicios!$D$6:$D$39,I58,Servicios!$E$6:$E$39,J58)))</f>
        <v>0</v>
      </c>
      <c r="M58" s="25"/>
      <c r="N58" s="24">
        <f t="shared" si="1"/>
        <v>0</v>
      </c>
      <c r="O58" s="25"/>
      <c r="P58" s="25"/>
      <c r="Q58" s="25"/>
      <c r="R58" s="24">
        <f t="shared" si="2"/>
        <v>0</v>
      </c>
      <c r="S58" s="24">
        <f t="shared" si="3"/>
        <v>0</v>
      </c>
      <c r="T58" s="19"/>
      <c r="U58" s="19"/>
      <c r="V58" s="19"/>
      <c r="W58" s="26" t="str">
        <f t="array" ref="W58">IF(H58="","",IFERROR(INDEX(Manicuristas!$D$6:$D$9,MATCH(H58,Manicuristas!$C$6:$C$9,0)),0))</f>
        <v/>
      </c>
      <c r="X58" s="26" t="str">
        <f t="array" ref="X58">IF(H58="","",IFERROR(INDEX(Manicuristas!$E$6:$E$9,MATCH(H58,Manicuristas!$C$6:$C$9,0)),0))</f>
        <v/>
      </c>
      <c r="Y58" s="26" t="str">
        <f t="array" ref="Y58">IF(H58="","",IFERROR(INDEX(Manicuristas!$F$6:$F$9,MATCH(H58,Manicuristas!$C$6:$C$9,0)),0))</f>
        <v/>
      </c>
      <c r="Z58" s="24">
        <f t="shared" si="4"/>
        <v>0</v>
      </c>
      <c r="AA58" s="24">
        <f t="shared" si="5"/>
        <v>0</v>
      </c>
      <c r="AB58" s="24">
        <f t="shared" si="6"/>
        <v>0</v>
      </c>
      <c r="AC58" s="24">
        <f t="shared" si="7"/>
        <v>0</v>
      </c>
      <c r="AD58" s="19"/>
    </row>
    <row r="59" ht="15.75" customHeight="1">
      <c r="B59" s="19"/>
      <c r="C59" s="20"/>
      <c r="D59" s="21"/>
      <c r="E59" s="22"/>
      <c r="F59" s="19"/>
      <c r="G59" s="23" t="str">
        <f t="array" ref="G59">IF(F59="","",IFERROR(INDEX(Clientas!$F$6:$F$55,MATCH(F59,Clientas!$C$6:$C$55,0)),""))</f>
        <v/>
      </c>
      <c r="H59" s="19"/>
      <c r="I59" s="19"/>
      <c r="J59" s="19"/>
      <c r="K59" s="19"/>
      <c r="L59" s="24">
        <f>IF(OR(I59="",J59="",G59=""),0,IF(G59="Local",SUMIFS(Servicios!$F$6:$F$39,Servicios!$D$6:$D$39,I59,Servicios!$E$6:$E$39,J59),SUMIFS(Servicios!$G$6:$G$39,Servicios!$D$6:$D$39,I59,Servicios!$E$6:$E$39,J59)))</f>
        <v>0</v>
      </c>
      <c r="M59" s="25"/>
      <c r="N59" s="24">
        <f t="shared" si="1"/>
        <v>0</v>
      </c>
      <c r="O59" s="25"/>
      <c r="P59" s="25"/>
      <c r="Q59" s="25"/>
      <c r="R59" s="24">
        <f t="shared" si="2"/>
        <v>0</v>
      </c>
      <c r="S59" s="24">
        <f t="shared" si="3"/>
        <v>0</v>
      </c>
      <c r="T59" s="19"/>
      <c r="U59" s="19"/>
      <c r="V59" s="19"/>
      <c r="W59" s="26" t="str">
        <f t="array" ref="W59">IF(H59="","",IFERROR(INDEX(Manicuristas!$D$6:$D$9,MATCH(H59,Manicuristas!$C$6:$C$9,0)),0))</f>
        <v/>
      </c>
      <c r="X59" s="26" t="str">
        <f t="array" ref="X59">IF(H59="","",IFERROR(INDEX(Manicuristas!$E$6:$E$9,MATCH(H59,Manicuristas!$C$6:$C$9,0)),0))</f>
        <v/>
      </c>
      <c r="Y59" s="26" t="str">
        <f t="array" ref="Y59">IF(H59="","",IFERROR(INDEX(Manicuristas!$F$6:$F$9,MATCH(H59,Manicuristas!$C$6:$C$9,0)),0))</f>
        <v/>
      </c>
      <c r="Z59" s="24">
        <f t="shared" si="4"/>
        <v>0</v>
      </c>
      <c r="AA59" s="24">
        <f t="shared" si="5"/>
        <v>0</v>
      </c>
      <c r="AB59" s="24">
        <f t="shared" si="6"/>
        <v>0</v>
      </c>
      <c r="AC59" s="24">
        <f t="shared" si="7"/>
        <v>0</v>
      </c>
      <c r="AD59" s="19"/>
    </row>
    <row r="60" ht="15.75" customHeight="1">
      <c r="B60" s="19"/>
      <c r="C60" s="20"/>
      <c r="D60" s="21"/>
      <c r="E60" s="22"/>
      <c r="F60" s="19"/>
      <c r="G60" s="23" t="str">
        <f t="array" ref="G60">IF(F60="","",IFERROR(INDEX(Clientas!$F$6:$F$55,MATCH(F60,Clientas!$C$6:$C$55,0)),""))</f>
        <v/>
      </c>
      <c r="H60" s="19"/>
      <c r="I60" s="19"/>
      <c r="J60" s="19"/>
      <c r="K60" s="19"/>
      <c r="L60" s="24">
        <f>IF(OR(I60="",J60="",G60=""),0,IF(G60="Local",SUMIFS(Servicios!$F$6:$F$39,Servicios!$D$6:$D$39,I60,Servicios!$E$6:$E$39,J60),SUMIFS(Servicios!$G$6:$G$39,Servicios!$D$6:$D$39,I60,Servicios!$E$6:$E$39,J60)))</f>
        <v>0</v>
      </c>
      <c r="M60" s="25"/>
      <c r="N60" s="24">
        <f t="shared" si="1"/>
        <v>0</v>
      </c>
      <c r="O60" s="25"/>
      <c r="P60" s="25"/>
      <c r="Q60" s="25"/>
      <c r="R60" s="24">
        <f t="shared" si="2"/>
        <v>0</v>
      </c>
      <c r="S60" s="24">
        <f t="shared" si="3"/>
        <v>0</v>
      </c>
      <c r="T60" s="19"/>
      <c r="U60" s="19"/>
      <c r="V60" s="19"/>
      <c r="W60" s="26" t="str">
        <f t="array" ref="W60">IF(H60="","",IFERROR(INDEX(Manicuristas!$D$6:$D$9,MATCH(H60,Manicuristas!$C$6:$C$9,0)),0))</f>
        <v/>
      </c>
      <c r="X60" s="26" t="str">
        <f t="array" ref="X60">IF(H60="","",IFERROR(INDEX(Manicuristas!$E$6:$E$9,MATCH(H60,Manicuristas!$C$6:$C$9,0)),0))</f>
        <v/>
      </c>
      <c r="Y60" s="26" t="str">
        <f t="array" ref="Y60">IF(H60="","",IFERROR(INDEX(Manicuristas!$F$6:$F$9,MATCH(H60,Manicuristas!$C$6:$C$9,0)),0))</f>
        <v/>
      </c>
      <c r="Z60" s="24">
        <f t="shared" si="4"/>
        <v>0</v>
      </c>
      <c r="AA60" s="24">
        <f t="shared" si="5"/>
        <v>0</v>
      </c>
      <c r="AB60" s="24">
        <f t="shared" si="6"/>
        <v>0</v>
      </c>
      <c r="AC60" s="24">
        <f t="shared" si="7"/>
        <v>0</v>
      </c>
      <c r="AD60" s="19"/>
    </row>
    <row r="61" ht="15.75" customHeight="1">
      <c r="B61" s="19"/>
      <c r="C61" s="20"/>
      <c r="D61" s="21"/>
      <c r="E61" s="22"/>
      <c r="F61" s="19"/>
      <c r="G61" s="23" t="str">
        <f t="array" ref="G61">IF(F61="","",IFERROR(INDEX(Clientas!$F$6:$F$55,MATCH(F61,Clientas!$C$6:$C$55,0)),""))</f>
        <v/>
      </c>
      <c r="H61" s="19"/>
      <c r="I61" s="19"/>
      <c r="J61" s="19"/>
      <c r="K61" s="19"/>
      <c r="L61" s="24">
        <f>IF(OR(I61="",J61="",G61=""),0,IF(G61="Local",SUMIFS(Servicios!$F$6:$F$39,Servicios!$D$6:$D$39,I61,Servicios!$E$6:$E$39,J61),SUMIFS(Servicios!$G$6:$G$39,Servicios!$D$6:$D$39,I61,Servicios!$E$6:$E$39,J61)))</f>
        <v>0</v>
      </c>
      <c r="M61" s="25"/>
      <c r="N61" s="24">
        <f t="shared" si="1"/>
        <v>0</v>
      </c>
      <c r="O61" s="25"/>
      <c r="P61" s="25"/>
      <c r="Q61" s="25"/>
      <c r="R61" s="24">
        <f t="shared" si="2"/>
        <v>0</v>
      </c>
      <c r="S61" s="24">
        <f t="shared" si="3"/>
        <v>0</v>
      </c>
      <c r="T61" s="19"/>
      <c r="U61" s="19"/>
      <c r="V61" s="19"/>
      <c r="W61" s="26" t="str">
        <f t="array" ref="W61">IF(H61="","",IFERROR(INDEX(Manicuristas!$D$6:$D$9,MATCH(H61,Manicuristas!$C$6:$C$9,0)),0))</f>
        <v/>
      </c>
      <c r="X61" s="26" t="str">
        <f t="array" ref="X61">IF(H61="","",IFERROR(INDEX(Manicuristas!$E$6:$E$9,MATCH(H61,Manicuristas!$C$6:$C$9,0)),0))</f>
        <v/>
      </c>
      <c r="Y61" s="26" t="str">
        <f t="array" ref="Y61">IF(H61="","",IFERROR(INDEX(Manicuristas!$F$6:$F$9,MATCH(H61,Manicuristas!$C$6:$C$9,0)),0))</f>
        <v/>
      </c>
      <c r="Z61" s="24">
        <f t="shared" si="4"/>
        <v>0</v>
      </c>
      <c r="AA61" s="24">
        <f t="shared" si="5"/>
        <v>0</v>
      </c>
      <c r="AB61" s="24">
        <f t="shared" si="6"/>
        <v>0</v>
      </c>
      <c r="AC61" s="24">
        <f t="shared" si="7"/>
        <v>0</v>
      </c>
      <c r="AD61" s="19"/>
    </row>
    <row r="62" ht="15.75" customHeight="1">
      <c r="B62" s="19"/>
      <c r="C62" s="20"/>
      <c r="D62" s="21"/>
      <c r="E62" s="22"/>
      <c r="F62" s="19"/>
      <c r="G62" s="23" t="str">
        <f t="array" ref="G62">IF(F62="","",IFERROR(INDEX(Clientas!$F$6:$F$55,MATCH(F62,Clientas!$C$6:$C$55,0)),""))</f>
        <v/>
      </c>
      <c r="H62" s="19"/>
      <c r="I62" s="19"/>
      <c r="J62" s="19"/>
      <c r="K62" s="19"/>
      <c r="L62" s="24">
        <f>IF(OR(I62="",J62="",G62=""),0,IF(G62="Local",SUMIFS(Servicios!$F$6:$F$39,Servicios!$D$6:$D$39,I62,Servicios!$E$6:$E$39,J62),SUMIFS(Servicios!$G$6:$G$39,Servicios!$D$6:$D$39,I62,Servicios!$E$6:$E$39,J62)))</f>
        <v>0</v>
      </c>
      <c r="M62" s="25"/>
      <c r="N62" s="24">
        <f t="shared" si="1"/>
        <v>0</v>
      </c>
      <c r="O62" s="25"/>
      <c r="P62" s="25"/>
      <c r="Q62" s="25"/>
      <c r="R62" s="24">
        <f t="shared" si="2"/>
        <v>0</v>
      </c>
      <c r="S62" s="24">
        <f t="shared" si="3"/>
        <v>0</v>
      </c>
      <c r="T62" s="19"/>
      <c r="U62" s="19"/>
      <c r="V62" s="19"/>
      <c r="W62" s="26" t="str">
        <f t="array" ref="W62">IF(H62="","",IFERROR(INDEX(Manicuristas!$D$6:$D$9,MATCH(H62,Manicuristas!$C$6:$C$9,0)),0))</f>
        <v/>
      </c>
      <c r="X62" s="26" t="str">
        <f t="array" ref="X62">IF(H62="","",IFERROR(INDEX(Manicuristas!$E$6:$E$9,MATCH(H62,Manicuristas!$C$6:$C$9,0)),0))</f>
        <v/>
      </c>
      <c r="Y62" s="26" t="str">
        <f t="array" ref="Y62">IF(H62="","",IFERROR(INDEX(Manicuristas!$F$6:$F$9,MATCH(H62,Manicuristas!$C$6:$C$9,0)),0))</f>
        <v/>
      </c>
      <c r="Z62" s="24">
        <f t="shared" si="4"/>
        <v>0</v>
      </c>
      <c r="AA62" s="24">
        <f t="shared" si="5"/>
        <v>0</v>
      </c>
      <c r="AB62" s="24">
        <f t="shared" si="6"/>
        <v>0</v>
      </c>
      <c r="AC62" s="24">
        <f t="shared" si="7"/>
        <v>0</v>
      </c>
      <c r="AD62" s="19"/>
    </row>
    <row r="63" ht="15.75" customHeight="1">
      <c r="B63" s="19"/>
      <c r="C63" s="20"/>
      <c r="D63" s="21"/>
      <c r="E63" s="22"/>
      <c r="F63" s="19"/>
      <c r="G63" s="23" t="str">
        <f t="array" ref="G63">IF(F63="","",IFERROR(INDEX(Clientas!$F$6:$F$55,MATCH(F63,Clientas!$C$6:$C$55,0)),""))</f>
        <v/>
      </c>
      <c r="H63" s="19"/>
      <c r="I63" s="19"/>
      <c r="J63" s="19"/>
      <c r="K63" s="19"/>
      <c r="L63" s="24">
        <f>IF(OR(I63="",J63="",G63=""),0,IF(G63="Local",SUMIFS(Servicios!$F$6:$F$39,Servicios!$D$6:$D$39,I63,Servicios!$E$6:$E$39,J63),SUMIFS(Servicios!$G$6:$G$39,Servicios!$D$6:$D$39,I63,Servicios!$E$6:$E$39,J63)))</f>
        <v>0</v>
      </c>
      <c r="M63" s="25"/>
      <c r="N63" s="24">
        <f t="shared" si="1"/>
        <v>0</v>
      </c>
      <c r="O63" s="25"/>
      <c r="P63" s="25"/>
      <c r="Q63" s="25"/>
      <c r="R63" s="24">
        <f t="shared" si="2"/>
        <v>0</v>
      </c>
      <c r="S63" s="24">
        <f t="shared" si="3"/>
        <v>0</v>
      </c>
      <c r="T63" s="19"/>
      <c r="U63" s="19"/>
      <c r="V63" s="19"/>
      <c r="W63" s="26" t="str">
        <f t="array" ref="W63">IF(H63="","",IFERROR(INDEX(Manicuristas!$D$6:$D$9,MATCH(H63,Manicuristas!$C$6:$C$9,0)),0))</f>
        <v/>
      </c>
      <c r="X63" s="26" t="str">
        <f t="array" ref="X63">IF(H63="","",IFERROR(INDEX(Manicuristas!$E$6:$E$9,MATCH(H63,Manicuristas!$C$6:$C$9,0)),0))</f>
        <v/>
      </c>
      <c r="Y63" s="26" t="str">
        <f t="array" ref="Y63">IF(H63="","",IFERROR(INDEX(Manicuristas!$F$6:$F$9,MATCH(H63,Manicuristas!$C$6:$C$9,0)),0))</f>
        <v/>
      </c>
      <c r="Z63" s="24">
        <f t="shared" si="4"/>
        <v>0</v>
      </c>
      <c r="AA63" s="24">
        <f t="shared" si="5"/>
        <v>0</v>
      </c>
      <c r="AB63" s="24">
        <f t="shared" si="6"/>
        <v>0</v>
      </c>
      <c r="AC63" s="24">
        <f t="shared" si="7"/>
        <v>0</v>
      </c>
      <c r="AD63" s="19"/>
    </row>
    <row r="64" ht="15.75" customHeight="1">
      <c r="B64" s="19"/>
      <c r="C64" s="20"/>
      <c r="D64" s="21"/>
      <c r="E64" s="22"/>
      <c r="F64" s="19"/>
      <c r="G64" s="23" t="str">
        <f t="array" ref="G64">IF(F64="","",IFERROR(INDEX(Clientas!$F$6:$F$55,MATCH(F64,Clientas!$C$6:$C$55,0)),""))</f>
        <v/>
      </c>
      <c r="H64" s="19"/>
      <c r="I64" s="19"/>
      <c r="J64" s="19"/>
      <c r="K64" s="19"/>
      <c r="L64" s="24">
        <f>IF(OR(I64="",J64="",G64=""),0,IF(G64="Local",SUMIFS(Servicios!$F$6:$F$39,Servicios!$D$6:$D$39,I64,Servicios!$E$6:$E$39,J64),SUMIFS(Servicios!$G$6:$G$39,Servicios!$D$6:$D$39,I64,Servicios!$E$6:$E$39,J64)))</f>
        <v>0</v>
      </c>
      <c r="M64" s="25"/>
      <c r="N64" s="24">
        <f t="shared" si="1"/>
        <v>0</v>
      </c>
      <c r="O64" s="25"/>
      <c r="P64" s="25"/>
      <c r="Q64" s="25"/>
      <c r="R64" s="24">
        <f t="shared" si="2"/>
        <v>0</v>
      </c>
      <c r="S64" s="24">
        <f t="shared" si="3"/>
        <v>0</v>
      </c>
      <c r="T64" s="19"/>
      <c r="U64" s="19"/>
      <c r="V64" s="19"/>
      <c r="W64" s="26" t="str">
        <f t="array" ref="W64">IF(H64="","",IFERROR(INDEX(Manicuristas!$D$6:$D$9,MATCH(H64,Manicuristas!$C$6:$C$9,0)),0))</f>
        <v/>
      </c>
      <c r="X64" s="26" t="str">
        <f t="array" ref="X64">IF(H64="","",IFERROR(INDEX(Manicuristas!$E$6:$E$9,MATCH(H64,Manicuristas!$C$6:$C$9,0)),0))</f>
        <v/>
      </c>
      <c r="Y64" s="26" t="str">
        <f t="array" ref="Y64">IF(H64="","",IFERROR(INDEX(Manicuristas!$F$6:$F$9,MATCH(H64,Manicuristas!$C$6:$C$9,0)),0))</f>
        <v/>
      </c>
      <c r="Z64" s="24">
        <f t="shared" si="4"/>
        <v>0</v>
      </c>
      <c r="AA64" s="24">
        <f t="shared" si="5"/>
        <v>0</v>
      </c>
      <c r="AB64" s="24">
        <f t="shared" si="6"/>
        <v>0</v>
      </c>
      <c r="AC64" s="24">
        <f t="shared" si="7"/>
        <v>0</v>
      </c>
      <c r="AD64" s="19"/>
    </row>
    <row r="65" ht="15.75" customHeight="1">
      <c r="B65" s="19"/>
      <c r="C65" s="20"/>
      <c r="D65" s="21"/>
      <c r="E65" s="22"/>
      <c r="F65" s="19"/>
      <c r="G65" s="23" t="str">
        <f t="array" ref="G65">IF(F65="","",IFERROR(INDEX(Clientas!$F$6:$F$55,MATCH(F65,Clientas!$C$6:$C$55,0)),""))</f>
        <v/>
      </c>
      <c r="H65" s="19"/>
      <c r="I65" s="19"/>
      <c r="J65" s="19"/>
      <c r="K65" s="19"/>
      <c r="L65" s="24">
        <f>IF(OR(I65="",J65="",G65=""),0,IF(G65="Local",SUMIFS(Servicios!$F$6:$F$39,Servicios!$D$6:$D$39,I65,Servicios!$E$6:$E$39,J65),SUMIFS(Servicios!$G$6:$G$39,Servicios!$D$6:$D$39,I65,Servicios!$E$6:$E$39,J65)))</f>
        <v>0</v>
      </c>
      <c r="M65" s="25"/>
      <c r="N65" s="24">
        <f t="shared" si="1"/>
        <v>0</v>
      </c>
      <c r="O65" s="25"/>
      <c r="P65" s="25"/>
      <c r="Q65" s="25"/>
      <c r="R65" s="24">
        <f t="shared" si="2"/>
        <v>0</v>
      </c>
      <c r="S65" s="24">
        <f t="shared" si="3"/>
        <v>0</v>
      </c>
      <c r="T65" s="19"/>
      <c r="U65" s="19"/>
      <c r="V65" s="19"/>
      <c r="W65" s="26" t="str">
        <f t="array" ref="W65">IF(H65="","",IFERROR(INDEX(Manicuristas!$D$6:$D$9,MATCH(H65,Manicuristas!$C$6:$C$9,0)),0))</f>
        <v/>
      </c>
      <c r="X65" s="26" t="str">
        <f t="array" ref="X65">IF(H65="","",IFERROR(INDEX(Manicuristas!$E$6:$E$9,MATCH(H65,Manicuristas!$C$6:$C$9,0)),0))</f>
        <v/>
      </c>
      <c r="Y65" s="26" t="str">
        <f t="array" ref="Y65">IF(H65="","",IFERROR(INDEX(Manicuristas!$F$6:$F$9,MATCH(H65,Manicuristas!$C$6:$C$9,0)),0))</f>
        <v/>
      </c>
      <c r="Z65" s="24">
        <f t="shared" si="4"/>
        <v>0</v>
      </c>
      <c r="AA65" s="24">
        <f t="shared" si="5"/>
        <v>0</v>
      </c>
      <c r="AB65" s="24">
        <f t="shared" si="6"/>
        <v>0</v>
      </c>
      <c r="AC65" s="24">
        <f t="shared" si="7"/>
        <v>0</v>
      </c>
      <c r="AD65" s="19"/>
    </row>
    <row r="66" ht="15.75" customHeight="1">
      <c r="B66" s="19"/>
      <c r="C66" s="20"/>
      <c r="D66" s="21"/>
      <c r="E66" s="22"/>
      <c r="F66" s="19"/>
      <c r="G66" s="23" t="str">
        <f t="array" ref="G66">IF(F66="","",IFERROR(INDEX(Clientas!$F$6:$F$55,MATCH(F66,Clientas!$C$6:$C$55,0)),""))</f>
        <v/>
      </c>
      <c r="H66" s="19"/>
      <c r="I66" s="19"/>
      <c r="J66" s="19"/>
      <c r="K66" s="19"/>
      <c r="L66" s="24">
        <f>IF(OR(I66="",J66="",G66=""),0,IF(G66="Local",SUMIFS(Servicios!$F$6:$F$39,Servicios!$D$6:$D$39,I66,Servicios!$E$6:$E$39,J66),SUMIFS(Servicios!$G$6:$G$39,Servicios!$D$6:$D$39,I66,Servicios!$E$6:$E$39,J66)))</f>
        <v>0</v>
      </c>
      <c r="M66" s="25"/>
      <c r="N66" s="24">
        <f t="shared" si="1"/>
        <v>0</v>
      </c>
      <c r="O66" s="25"/>
      <c r="P66" s="25"/>
      <c r="Q66" s="25"/>
      <c r="R66" s="24">
        <f t="shared" si="2"/>
        <v>0</v>
      </c>
      <c r="S66" s="24">
        <f t="shared" si="3"/>
        <v>0</v>
      </c>
      <c r="T66" s="19"/>
      <c r="U66" s="19"/>
      <c r="V66" s="19"/>
      <c r="W66" s="26" t="str">
        <f t="array" ref="W66">IF(H66="","",IFERROR(INDEX(Manicuristas!$D$6:$D$9,MATCH(H66,Manicuristas!$C$6:$C$9,0)),0))</f>
        <v/>
      </c>
      <c r="X66" s="26" t="str">
        <f t="array" ref="X66">IF(H66="","",IFERROR(INDEX(Manicuristas!$E$6:$E$9,MATCH(H66,Manicuristas!$C$6:$C$9,0)),0))</f>
        <v/>
      </c>
      <c r="Y66" s="26" t="str">
        <f t="array" ref="Y66">IF(H66="","",IFERROR(INDEX(Manicuristas!$F$6:$F$9,MATCH(H66,Manicuristas!$C$6:$C$9,0)),0))</f>
        <v/>
      </c>
      <c r="Z66" s="24">
        <f t="shared" si="4"/>
        <v>0</v>
      </c>
      <c r="AA66" s="24">
        <f t="shared" si="5"/>
        <v>0</v>
      </c>
      <c r="AB66" s="24">
        <f t="shared" si="6"/>
        <v>0</v>
      </c>
      <c r="AC66" s="24">
        <f t="shared" si="7"/>
        <v>0</v>
      </c>
      <c r="AD66" s="19"/>
    </row>
    <row r="67" ht="15.75" customHeight="1">
      <c r="B67" s="19"/>
      <c r="C67" s="20"/>
      <c r="D67" s="21"/>
      <c r="E67" s="22"/>
      <c r="F67" s="19"/>
      <c r="G67" s="23" t="str">
        <f t="array" ref="G67">IF(F67="","",IFERROR(INDEX(Clientas!$F$6:$F$55,MATCH(F67,Clientas!$C$6:$C$55,0)),""))</f>
        <v/>
      </c>
      <c r="H67" s="19"/>
      <c r="I67" s="19"/>
      <c r="J67" s="19"/>
      <c r="K67" s="19"/>
      <c r="L67" s="24">
        <f>IF(OR(I67="",J67="",G67=""),0,IF(G67="Local",SUMIFS(Servicios!$F$6:$F$39,Servicios!$D$6:$D$39,I67,Servicios!$E$6:$E$39,J67),SUMIFS(Servicios!$G$6:$G$39,Servicios!$D$6:$D$39,I67,Servicios!$E$6:$E$39,J67)))</f>
        <v>0</v>
      </c>
      <c r="M67" s="25"/>
      <c r="N67" s="24">
        <f t="shared" si="1"/>
        <v>0</v>
      </c>
      <c r="O67" s="25"/>
      <c r="P67" s="25"/>
      <c r="Q67" s="25"/>
      <c r="R67" s="24">
        <f t="shared" si="2"/>
        <v>0</v>
      </c>
      <c r="S67" s="24">
        <f t="shared" si="3"/>
        <v>0</v>
      </c>
      <c r="T67" s="19"/>
      <c r="U67" s="19"/>
      <c r="V67" s="19"/>
      <c r="W67" s="26" t="str">
        <f t="array" ref="W67">IF(H67="","",IFERROR(INDEX(Manicuristas!$D$6:$D$9,MATCH(H67,Manicuristas!$C$6:$C$9,0)),0))</f>
        <v/>
      </c>
      <c r="X67" s="26" t="str">
        <f t="array" ref="X67">IF(H67="","",IFERROR(INDEX(Manicuristas!$E$6:$E$9,MATCH(H67,Manicuristas!$C$6:$C$9,0)),0))</f>
        <v/>
      </c>
      <c r="Y67" s="26" t="str">
        <f t="array" ref="Y67">IF(H67="","",IFERROR(INDEX(Manicuristas!$F$6:$F$9,MATCH(H67,Manicuristas!$C$6:$C$9,0)),0))</f>
        <v/>
      </c>
      <c r="Z67" s="24">
        <f t="shared" si="4"/>
        <v>0</v>
      </c>
      <c r="AA67" s="24">
        <f t="shared" si="5"/>
        <v>0</v>
      </c>
      <c r="AB67" s="24">
        <f t="shared" si="6"/>
        <v>0</v>
      </c>
      <c r="AC67" s="24">
        <f t="shared" si="7"/>
        <v>0</v>
      </c>
      <c r="AD67" s="19"/>
    </row>
    <row r="68" ht="15.75" customHeight="1">
      <c r="B68" s="19"/>
      <c r="C68" s="20"/>
      <c r="D68" s="21"/>
      <c r="E68" s="22"/>
      <c r="F68" s="19"/>
      <c r="G68" s="23" t="str">
        <f t="array" ref="G68">IF(F68="","",IFERROR(INDEX(Clientas!$F$6:$F$55,MATCH(F68,Clientas!$C$6:$C$55,0)),""))</f>
        <v/>
      </c>
      <c r="H68" s="19"/>
      <c r="I68" s="19"/>
      <c r="J68" s="19"/>
      <c r="K68" s="19"/>
      <c r="L68" s="24">
        <f>IF(OR(I68="",J68="",G68=""),0,IF(G68="Local",SUMIFS(Servicios!$F$6:$F$39,Servicios!$D$6:$D$39,I68,Servicios!$E$6:$E$39,J68),SUMIFS(Servicios!$G$6:$G$39,Servicios!$D$6:$D$39,I68,Servicios!$E$6:$E$39,J68)))</f>
        <v>0</v>
      </c>
      <c r="M68" s="25"/>
      <c r="N68" s="24">
        <f t="shared" si="1"/>
        <v>0</v>
      </c>
      <c r="O68" s="25"/>
      <c r="P68" s="25"/>
      <c r="Q68" s="25"/>
      <c r="R68" s="24">
        <f t="shared" si="2"/>
        <v>0</v>
      </c>
      <c r="S68" s="24">
        <f t="shared" si="3"/>
        <v>0</v>
      </c>
      <c r="T68" s="19"/>
      <c r="U68" s="19"/>
      <c r="V68" s="19"/>
      <c r="W68" s="26" t="str">
        <f t="array" ref="W68">IF(H68="","",IFERROR(INDEX(Manicuristas!$D$6:$D$9,MATCH(H68,Manicuristas!$C$6:$C$9,0)),0))</f>
        <v/>
      </c>
      <c r="X68" s="26" t="str">
        <f t="array" ref="X68">IF(H68="","",IFERROR(INDEX(Manicuristas!$E$6:$E$9,MATCH(H68,Manicuristas!$C$6:$C$9,0)),0))</f>
        <v/>
      </c>
      <c r="Y68" s="26" t="str">
        <f t="array" ref="Y68">IF(H68="","",IFERROR(INDEX(Manicuristas!$F$6:$F$9,MATCH(H68,Manicuristas!$C$6:$C$9,0)),0))</f>
        <v/>
      </c>
      <c r="Z68" s="24">
        <f t="shared" si="4"/>
        <v>0</v>
      </c>
      <c r="AA68" s="24">
        <f t="shared" si="5"/>
        <v>0</v>
      </c>
      <c r="AB68" s="24">
        <f t="shared" si="6"/>
        <v>0</v>
      </c>
      <c r="AC68" s="24">
        <f t="shared" si="7"/>
        <v>0</v>
      </c>
      <c r="AD68" s="19"/>
    </row>
    <row r="69" ht="15.75" customHeight="1">
      <c r="B69" s="19"/>
      <c r="C69" s="20"/>
      <c r="D69" s="21"/>
      <c r="E69" s="22"/>
      <c r="F69" s="19"/>
      <c r="G69" s="23" t="str">
        <f t="array" ref="G69">IF(F69="","",IFERROR(INDEX(Clientas!$F$6:$F$55,MATCH(F69,Clientas!$C$6:$C$55,0)),""))</f>
        <v/>
      </c>
      <c r="H69" s="19"/>
      <c r="I69" s="19"/>
      <c r="J69" s="19"/>
      <c r="K69" s="19"/>
      <c r="L69" s="24">
        <f>IF(OR(I69="",J69="",G69=""),0,IF(G69="Local",SUMIFS(Servicios!$F$6:$F$39,Servicios!$D$6:$D$39,I69,Servicios!$E$6:$E$39,J69),SUMIFS(Servicios!$G$6:$G$39,Servicios!$D$6:$D$39,I69,Servicios!$E$6:$E$39,J69)))</f>
        <v>0</v>
      </c>
      <c r="M69" s="25"/>
      <c r="N69" s="24">
        <f t="shared" si="1"/>
        <v>0</v>
      </c>
      <c r="O69" s="25"/>
      <c r="P69" s="25"/>
      <c r="Q69" s="25"/>
      <c r="R69" s="24">
        <f t="shared" si="2"/>
        <v>0</v>
      </c>
      <c r="S69" s="24">
        <f t="shared" si="3"/>
        <v>0</v>
      </c>
      <c r="T69" s="19"/>
      <c r="U69" s="19"/>
      <c r="V69" s="19"/>
      <c r="W69" s="26" t="str">
        <f t="array" ref="W69">IF(H69="","",IFERROR(INDEX(Manicuristas!$D$6:$D$9,MATCH(H69,Manicuristas!$C$6:$C$9,0)),0))</f>
        <v/>
      </c>
      <c r="X69" s="26" t="str">
        <f t="array" ref="X69">IF(H69="","",IFERROR(INDEX(Manicuristas!$E$6:$E$9,MATCH(H69,Manicuristas!$C$6:$C$9,0)),0))</f>
        <v/>
      </c>
      <c r="Y69" s="26" t="str">
        <f t="array" ref="Y69">IF(H69="","",IFERROR(INDEX(Manicuristas!$F$6:$F$9,MATCH(H69,Manicuristas!$C$6:$C$9,0)),0))</f>
        <v/>
      </c>
      <c r="Z69" s="24">
        <f t="shared" si="4"/>
        <v>0</v>
      </c>
      <c r="AA69" s="24">
        <f t="shared" si="5"/>
        <v>0</v>
      </c>
      <c r="AB69" s="24">
        <f t="shared" si="6"/>
        <v>0</v>
      </c>
      <c r="AC69" s="24">
        <f t="shared" si="7"/>
        <v>0</v>
      </c>
      <c r="AD69" s="19"/>
    </row>
    <row r="70" ht="15.75" customHeight="1">
      <c r="B70" s="19"/>
      <c r="C70" s="20"/>
      <c r="D70" s="21"/>
      <c r="E70" s="22"/>
      <c r="F70" s="19"/>
      <c r="G70" s="23" t="str">
        <f t="array" ref="G70">IF(F70="","",IFERROR(INDEX(Clientas!$F$6:$F$55,MATCH(F70,Clientas!$C$6:$C$55,0)),""))</f>
        <v/>
      </c>
      <c r="H70" s="19"/>
      <c r="I70" s="19"/>
      <c r="J70" s="19"/>
      <c r="K70" s="19"/>
      <c r="L70" s="24">
        <f>IF(OR(I70="",J70="",G70=""),0,IF(G70="Local",SUMIFS(Servicios!$F$6:$F$39,Servicios!$D$6:$D$39,I70,Servicios!$E$6:$E$39,J70),SUMIFS(Servicios!$G$6:$G$39,Servicios!$D$6:$D$39,I70,Servicios!$E$6:$E$39,J70)))</f>
        <v>0</v>
      </c>
      <c r="M70" s="25"/>
      <c r="N70" s="24">
        <f t="shared" si="1"/>
        <v>0</v>
      </c>
      <c r="O70" s="25"/>
      <c r="P70" s="25"/>
      <c r="Q70" s="25"/>
      <c r="R70" s="24">
        <f t="shared" si="2"/>
        <v>0</v>
      </c>
      <c r="S70" s="24">
        <f t="shared" si="3"/>
        <v>0</v>
      </c>
      <c r="T70" s="19"/>
      <c r="U70" s="19"/>
      <c r="V70" s="19"/>
      <c r="W70" s="26" t="str">
        <f t="array" ref="W70">IF(H70="","",IFERROR(INDEX(Manicuristas!$D$6:$D$9,MATCH(H70,Manicuristas!$C$6:$C$9,0)),0))</f>
        <v/>
      </c>
      <c r="X70" s="26" t="str">
        <f t="array" ref="X70">IF(H70="","",IFERROR(INDEX(Manicuristas!$E$6:$E$9,MATCH(H70,Manicuristas!$C$6:$C$9,0)),0))</f>
        <v/>
      </c>
      <c r="Y70" s="26" t="str">
        <f t="array" ref="Y70">IF(H70="","",IFERROR(INDEX(Manicuristas!$F$6:$F$9,MATCH(H70,Manicuristas!$C$6:$C$9,0)),0))</f>
        <v/>
      </c>
      <c r="Z70" s="24">
        <f t="shared" si="4"/>
        <v>0</v>
      </c>
      <c r="AA70" s="24">
        <f t="shared" si="5"/>
        <v>0</v>
      </c>
      <c r="AB70" s="24">
        <f t="shared" si="6"/>
        <v>0</v>
      </c>
      <c r="AC70" s="24">
        <f t="shared" si="7"/>
        <v>0</v>
      </c>
      <c r="AD70" s="19"/>
    </row>
    <row r="71" ht="15.75" customHeight="1">
      <c r="B71" s="19"/>
      <c r="C71" s="20"/>
      <c r="D71" s="21"/>
      <c r="E71" s="22"/>
      <c r="F71" s="19"/>
      <c r="G71" s="23" t="str">
        <f t="array" ref="G71">IF(F71="","",IFERROR(INDEX(Clientas!$F$6:$F$55,MATCH(F71,Clientas!$C$6:$C$55,0)),""))</f>
        <v/>
      </c>
      <c r="H71" s="19"/>
      <c r="I71" s="19"/>
      <c r="J71" s="19"/>
      <c r="K71" s="19"/>
      <c r="L71" s="24">
        <f>IF(OR(I71="",J71="",G71=""),0,IF(G71="Local",SUMIFS(Servicios!$F$6:$F$39,Servicios!$D$6:$D$39,I71,Servicios!$E$6:$E$39,J71),SUMIFS(Servicios!$G$6:$G$39,Servicios!$D$6:$D$39,I71,Servicios!$E$6:$E$39,J71)))</f>
        <v>0</v>
      </c>
      <c r="M71" s="25"/>
      <c r="N71" s="24">
        <f t="shared" si="1"/>
        <v>0</v>
      </c>
      <c r="O71" s="25"/>
      <c r="P71" s="25"/>
      <c r="Q71" s="25"/>
      <c r="R71" s="24">
        <f t="shared" si="2"/>
        <v>0</v>
      </c>
      <c r="S71" s="24">
        <f t="shared" si="3"/>
        <v>0</v>
      </c>
      <c r="T71" s="19"/>
      <c r="U71" s="19"/>
      <c r="V71" s="19"/>
      <c r="W71" s="26" t="str">
        <f t="array" ref="W71">IF(H71="","",IFERROR(INDEX(Manicuristas!$D$6:$D$9,MATCH(H71,Manicuristas!$C$6:$C$9,0)),0))</f>
        <v/>
      </c>
      <c r="X71" s="26" t="str">
        <f t="array" ref="X71">IF(H71="","",IFERROR(INDEX(Manicuristas!$E$6:$E$9,MATCH(H71,Manicuristas!$C$6:$C$9,0)),0))</f>
        <v/>
      </c>
      <c r="Y71" s="26" t="str">
        <f t="array" ref="Y71">IF(H71="","",IFERROR(INDEX(Manicuristas!$F$6:$F$9,MATCH(H71,Manicuristas!$C$6:$C$9,0)),0))</f>
        <v/>
      </c>
      <c r="Z71" s="24">
        <f t="shared" si="4"/>
        <v>0</v>
      </c>
      <c r="AA71" s="24">
        <f t="shared" si="5"/>
        <v>0</v>
      </c>
      <c r="AB71" s="24">
        <f t="shared" si="6"/>
        <v>0</v>
      </c>
      <c r="AC71" s="24">
        <f t="shared" si="7"/>
        <v>0</v>
      </c>
      <c r="AD71" s="19"/>
    </row>
    <row r="72" ht="15.75" customHeight="1">
      <c r="B72" s="19"/>
      <c r="C72" s="20"/>
      <c r="D72" s="21"/>
      <c r="E72" s="22"/>
      <c r="F72" s="19"/>
      <c r="G72" s="23" t="str">
        <f t="array" ref="G72">IF(F72="","",IFERROR(INDEX(Clientas!$F$6:$F$55,MATCH(F72,Clientas!$C$6:$C$55,0)),""))</f>
        <v/>
      </c>
      <c r="H72" s="19"/>
      <c r="I72" s="19"/>
      <c r="J72" s="19"/>
      <c r="K72" s="19"/>
      <c r="L72" s="24">
        <f>IF(OR(I72="",J72="",G72=""),0,IF(G72="Local",SUMIFS(Servicios!$F$6:$F$39,Servicios!$D$6:$D$39,I72,Servicios!$E$6:$E$39,J72),SUMIFS(Servicios!$G$6:$G$39,Servicios!$D$6:$D$39,I72,Servicios!$E$6:$E$39,J72)))</f>
        <v>0</v>
      </c>
      <c r="M72" s="25"/>
      <c r="N72" s="24">
        <f t="shared" si="1"/>
        <v>0</v>
      </c>
      <c r="O72" s="25"/>
      <c r="P72" s="25"/>
      <c r="Q72" s="25"/>
      <c r="R72" s="24">
        <f t="shared" si="2"/>
        <v>0</v>
      </c>
      <c r="S72" s="24">
        <f t="shared" si="3"/>
        <v>0</v>
      </c>
      <c r="T72" s="19"/>
      <c r="U72" s="19"/>
      <c r="V72" s="19"/>
      <c r="W72" s="26" t="str">
        <f t="array" ref="W72">IF(H72="","",IFERROR(INDEX(Manicuristas!$D$6:$D$9,MATCH(H72,Manicuristas!$C$6:$C$9,0)),0))</f>
        <v/>
      </c>
      <c r="X72" s="26" t="str">
        <f t="array" ref="X72">IF(H72="","",IFERROR(INDEX(Manicuristas!$E$6:$E$9,MATCH(H72,Manicuristas!$C$6:$C$9,0)),0))</f>
        <v/>
      </c>
      <c r="Y72" s="26" t="str">
        <f t="array" ref="Y72">IF(H72="","",IFERROR(INDEX(Manicuristas!$F$6:$F$9,MATCH(H72,Manicuristas!$C$6:$C$9,0)),0))</f>
        <v/>
      </c>
      <c r="Z72" s="24">
        <f t="shared" si="4"/>
        <v>0</v>
      </c>
      <c r="AA72" s="24">
        <f t="shared" si="5"/>
        <v>0</v>
      </c>
      <c r="AB72" s="24">
        <f t="shared" si="6"/>
        <v>0</v>
      </c>
      <c r="AC72" s="24">
        <f t="shared" si="7"/>
        <v>0</v>
      </c>
      <c r="AD72" s="19"/>
    </row>
    <row r="73" ht="15.75" customHeight="1">
      <c r="B73" s="19"/>
      <c r="C73" s="20"/>
      <c r="D73" s="21"/>
      <c r="E73" s="22"/>
      <c r="F73" s="19"/>
      <c r="G73" s="23" t="str">
        <f t="array" ref="G73">IF(F73="","",IFERROR(INDEX(Clientas!$F$6:$F$55,MATCH(F73,Clientas!$C$6:$C$55,0)),""))</f>
        <v/>
      </c>
      <c r="H73" s="19"/>
      <c r="I73" s="19"/>
      <c r="J73" s="19"/>
      <c r="K73" s="19"/>
      <c r="L73" s="24">
        <f>IF(OR(I73="",J73="",G73=""),0,IF(G73="Local",SUMIFS(Servicios!$F$6:$F$39,Servicios!$D$6:$D$39,I73,Servicios!$E$6:$E$39,J73),SUMIFS(Servicios!$G$6:$G$39,Servicios!$D$6:$D$39,I73,Servicios!$E$6:$E$39,J73)))</f>
        <v>0</v>
      </c>
      <c r="M73" s="25"/>
      <c r="N73" s="24">
        <f t="shared" si="1"/>
        <v>0</v>
      </c>
      <c r="O73" s="25"/>
      <c r="P73" s="25"/>
      <c r="Q73" s="25"/>
      <c r="R73" s="24">
        <f t="shared" si="2"/>
        <v>0</v>
      </c>
      <c r="S73" s="24">
        <f t="shared" si="3"/>
        <v>0</v>
      </c>
      <c r="T73" s="19"/>
      <c r="U73" s="19"/>
      <c r="V73" s="19"/>
      <c r="W73" s="26" t="str">
        <f t="array" ref="W73">IF(H73="","",IFERROR(INDEX(Manicuristas!$D$6:$D$9,MATCH(H73,Manicuristas!$C$6:$C$9,0)),0))</f>
        <v/>
      </c>
      <c r="X73" s="26" t="str">
        <f t="array" ref="X73">IF(H73="","",IFERROR(INDEX(Manicuristas!$E$6:$E$9,MATCH(H73,Manicuristas!$C$6:$C$9,0)),0))</f>
        <v/>
      </c>
      <c r="Y73" s="26" t="str">
        <f t="array" ref="Y73">IF(H73="","",IFERROR(INDEX(Manicuristas!$F$6:$F$9,MATCH(H73,Manicuristas!$C$6:$C$9,0)),0))</f>
        <v/>
      </c>
      <c r="Z73" s="24">
        <f t="shared" si="4"/>
        <v>0</v>
      </c>
      <c r="AA73" s="24">
        <f t="shared" si="5"/>
        <v>0</v>
      </c>
      <c r="AB73" s="24">
        <f t="shared" si="6"/>
        <v>0</v>
      </c>
      <c r="AC73" s="24">
        <f t="shared" si="7"/>
        <v>0</v>
      </c>
      <c r="AD73" s="19"/>
    </row>
    <row r="74" ht="15.75" customHeight="1">
      <c r="B74" s="19"/>
      <c r="C74" s="20"/>
      <c r="D74" s="21"/>
      <c r="E74" s="22"/>
      <c r="F74" s="19"/>
      <c r="G74" s="23" t="str">
        <f t="array" ref="G74">IF(F74="","",IFERROR(INDEX(Clientas!$F$6:$F$55,MATCH(F74,Clientas!$C$6:$C$55,0)),""))</f>
        <v/>
      </c>
      <c r="H74" s="19"/>
      <c r="I74" s="19"/>
      <c r="J74" s="19"/>
      <c r="K74" s="19"/>
      <c r="L74" s="24">
        <f>IF(OR(I74="",J74="",G74=""),0,IF(G74="Local",SUMIFS(Servicios!$F$6:$F$39,Servicios!$D$6:$D$39,I74,Servicios!$E$6:$E$39,J74),SUMIFS(Servicios!$G$6:$G$39,Servicios!$D$6:$D$39,I74,Servicios!$E$6:$E$39,J74)))</f>
        <v>0</v>
      </c>
      <c r="M74" s="25"/>
      <c r="N74" s="24">
        <f t="shared" si="1"/>
        <v>0</v>
      </c>
      <c r="O74" s="25"/>
      <c r="P74" s="25"/>
      <c r="Q74" s="25"/>
      <c r="R74" s="24">
        <f t="shared" si="2"/>
        <v>0</v>
      </c>
      <c r="S74" s="24">
        <f t="shared" si="3"/>
        <v>0</v>
      </c>
      <c r="T74" s="19"/>
      <c r="U74" s="19"/>
      <c r="V74" s="19"/>
      <c r="W74" s="26" t="str">
        <f t="array" ref="W74">IF(H74="","",IFERROR(INDEX(Manicuristas!$D$6:$D$9,MATCH(H74,Manicuristas!$C$6:$C$9,0)),0))</f>
        <v/>
      </c>
      <c r="X74" s="26" t="str">
        <f t="array" ref="X74">IF(H74="","",IFERROR(INDEX(Manicuristas!$E$6:$E$9,MATCH(H74,Manicuristas!$C$6:$C$9,0)),0))</f>
        <v/>
      </c>
      <c r="Y74" s="26" t="str">
        <f t="array" ref="Y74">IF(H74="","",IFERROR(INDEX(Manicuristas!$F$6:$F$9,MATCH(H74,Manicuristas!$C$6:$C$9,0)),0))</f>
        <v/>
      </c>
      <c r="Z74" s="24">
        <f t="shared" si="4"/>
        <v>0</v>
      </c>
      <c r="AA74" s="24">
        <f t="shared" si="5"/>
        <v>0</v>
      </c>
      <c r="AB74" s="24">
        <f t="shared" si="6"/>
        <v>0</v>
      </c>
      <c r="AC74" s="24">
        <f t="shared" si="7"/>
        <v>0</v>
      </c>
      <c r="AD74" s="19"/>
    </row>
    <row r="75" ht="15.75" customHeight="1">
      <c r="B75" s="19"/>
      <c r="C75" s="20"/>
      <c r="D75" s="21"/>
      <c r="E75" s="22"/>
      <c r="F75" s="19"/>
      <c r="G75" s="23" t="str">
        <f t="array" ref="G75">IF(F75="","",IFERROR(INDEX(Clientas!$F$6:$F$55,MATCH(F75,Clientas!$C$6:$C$55,0)),""))</f>
        <v/>
      </c>
      <c r="H75" s="19"/>
      <c r="I75" s="19"/>
      <c r="J75" s="19"/>
      <c r="K75" s="19"/>
      <c r="L75" s="24">
        <f>IF(OR(I75="",J75="",G75=""),0,IF(G75="Local",SUMIFS(Servicios!$F$6:$F$39,Servicios!$D$6:$D$39,I75,Servicios!$E$6:$E$39,J75),SUMIFS(Servicios!$G$6:$G$39,Servicios!$D$6:$D$39,I75,Servicios!$E$6:$E$39,J75)))</f>
        <v>0</v>
      </c>
      <c r="M75" s="25"/>
      <c r="N75" s="24">
        <f t="shared" si="1"/>
        <v>0</v>
      </c>
      <c r="O75" s="25"/>
      <c r="P75" s="25"/>
      <c r="Q75" s="25"/>
      <c r="R75" s="24">
        <f t="shared" si="2"/>
        <v>0</v>
      </c>
      <c r="S75" s="24">
        <f t="shared" si="3"/>
        <v>0</v>
      </c>
      <c r="T75" s="19"/>
      <c r="U75" s="19"/>
      <c r="V75" s="19"/>
      <c r="W75" s="26" t="str">
        <f t="array" ref="W75">IF(H75="","",IFERROR(INDEX(Manicuristas!$D$6:$D$9,MATCH(H75,Manicuristas!$C$6:$C$9,0)),0))</f>
        <v/>
      </c>
      <c r="X75" s="26" t="str">
        <f t="array" ref="X75">IF(H75="","",IFERROR(INDEX(Manicuristas!$E$6:$E$9,MATCH(H75,Manicuristas!$C$6:$C$9,0)),0))</f>
        <v/>
      </c>
      <c r="Y75" s="26" t="str">
        <f t="array" ref="Y75">IF(H75="","",IFERROR(INDEX(Manicuristas!$F$6:$F$9,MATCH(H75,Manicuristas!$C$6:$C$9,0)),0))</f>
        <v/>
      </c>
      <c r="Z75" s="24">
        <f t="shared" si="4"/>
        <v>0</v>
      </c>
      <c r="AA75" s="24">
        <f t="shared" si="5"/>
        <v>0</v>
      </c>
      <c r="AB75" s="24">
        <f t="shared" si="6"/>
        <v>0</v>
      </c>
      <c r="AC75" s="24">
        <f t="shared" si="7"/>
        <v>0</v>
      </c>
      <c r="AD75" s="19"/>
    </row>
    <row r="76" ht="15.75" customHeight="1">
      <c r="B76" s="19"/>
      <c r="C76" s="20"/>
      <c r="D76" s="21"/>
      <c r="E76" s="22"/>
      <c r="F76" s="19"/>
      <c r="G76" s="23" t="str">
        <f t="array" ref="G76">IF(F76="","",IFERROR(INDEX(Clientas!$F$6:$F$55,MATCH(F76,Clientas!$C$6:$C$55,0)),""))</f>
        <v/>
      </c>
      <c r="H76" s="19"/>
      <c r="I76" s="19"/>
      <c r="J76" s="19"/>
      <c r="K76" s="19"/>
      <c r="L76" s="24">
        <f>IF(OR(I76="",J76="",G76=""),0,IF(G76="Local",SUMIFS(Servicios!$F$6:$F$39,Servicios!$D$6:$D$39,I76,Servicios!$E$6:$E$39,J76),SUMIFS(Servicios!$G$6:$G$39,Servicios!$D$6:$D$39,I76,Servicios!$E$6:$E$39,J76)))</f>
        <v>0</v>
      </c>
      <c r="M76" s="25"/>
      <c r="N76" s="24">
        <f t="shared" si="1"/>
        <v>0</v>
      </c>
      <c r="O76" s="25"/>
      <c r="P76" s="25"/>
      <c r="Q76" s="25"/>
      <c r="R76" s="24">
        <f t="shared" si="2"/>
        <v>0</v>
      </c>
      <c r="S76" s="24">
        <f t="shared" si="3"/>
        <v>0</v>
      </c>
      <c r="T76" s="19"/>
      <c r="U76" s="19"/>
      <c r="V76" s="19"/>
      <c r="W76" s="26" t="str">
        <f t="array" ref="W76">IF(H76="","",IFERROR(INDEX(Manicuristas!$D$6:$D$9,MATCH(H76,Manicuristas!$C$6:$C$9,0)),0))</f>
        <v/>
      </c>
      <c r="X76" s="26" t="str">
        <f t="array" ref="X76">IF(H76="","",IFERROR(INDEX(Manicuristas!$E$6:$E$9,MATCH(H76,Manicuristas!$C$6:$C$9,0)),0))</f>
        <v/>
      </c>
      <c r="Y76" s="26" t="str">
        <f t="array" ref="Y76">IF(H76="","",IFERROR(INDEX(Manicuristas!$F$6:$F$9,MATCH(H76,Manicuristas!$C$6:$C$9,0)),0))</f>
        <v/>
      </c>
      <c r="Z76" s="24">
        <f t="shared" si="4"/>
        <v>0</v>
      </c>
      <c r="AA76" s="24">
        <f t="shared" si="5"/>
        <v>0</v>
      </c>
      <c r="AB76" s="24">
        <f t="shared" si="6"/>
        <v>0</v>
      </c>
      <c r="AC76" s="24">
        <f t="shared" si="7"/>
        <v>0</v>
      </c>
      <c r="AD76" s="19"/>
    </row>
    <row r="77" ht="15.75" customHeight="1">
      <c r="B77" s="19"/>
      <c r="C77" s="20"/>
      <c r="D77" s="21"/>
      <c r="E77" s="22"/>
      <c r="F77" s="19"/>
      <c r="G77" s="23" t="str">
        <f t="array" ref="G77">IF(F77="","",IFERROR(INDEX(Clientas!$F$6:$F$55,MATCH(F77,Clientas!$C$6:$C$55,0)),""))</f>
        <v/>
      </c>
      <c r="H77" s="19"/>
      <c r="I77" s="19"/>
      <c r="J77" s="19"/>
      <c r="K77" s="19"/>
      <c r="L77" s="24">
        <f>IF(OR(I77="",J77="",G77=""),0,IF(G77="Local",SUMIFS(Servicios!$F$6:$F$39,Servicios!$D$6:$D$39,I77,Servicios!$E$6:$E$39,J77),SUMIFS(Servicios!$G$6:$G$39,Servicios!$D$6:$D$39,I77,Servicios!$E$6:$E$39,J77)))</f>
        <v>0</v>
      </c>
      <c r="M77" s="25"/>
      <c r="N77" s="24">
        <f t="shared" si="1"/>
        <v>0</v>
      </c>
      <c r="O77" s="25"/>
      <c r="P77" s="25"/>
      <c r="Q77" s="25"/>
      <c r="R77" s="24">
        <f t="shared" si="2"/>
        <v>0</v>
      </c>
      <c r="S77" s="24">
        <f t="shared" si="3"/>
        <v>0</v>
      </c>
      <c r="T77" s="19"/>
      <c r="U77" s="19"/>
      <c r="V77" s="19"/>
      <c r="W77" s="26" t="str">
        <f t="array" ref="W77">IF(H77="","",IFERROR(INDEX(Manicuristas!$D$6:$D$9,MATCH(H77,Manicuristas!$C$6:$C$9,0)),0))</f>
        <v/>
      </c>
      <c r="X77" s="26" t="str">
        <f t="array" ref="X77">IF(H77="","",IFERROR(INDEX(Manicuristas!$E$6:$E$9,MATCH(H77,Manicuristas!$C$6:$C$9,0)),0))</f>
        <v/>
      </c>
      <c r="Y77" s="26" t="str">
        <f t="array" ref="Y77">IF(H77="","",IFERROR(INDEX(Manicuristas!$F$6:$F$9,MATCH(H77,Manicuristas!$C$6:$C$9,0)),0))</f>
        <v/>
      </c>
      <c r="Z77" s="24">
        <f t="shared" si="4"/>
        <v>0</v>
      </c>
      <c r="AA77" s="24">
        <f t="shared" si="5"/>
        <v>0</v>
      </c>
      <c r="AB77" s="24">
        <f t="shared" si="6"/>
        <v>0</v>
      </c>
      <c r="AC77" s="24">
        <f t="shared" si="7"/>
        <v>0</v>
      </c>
      <c r="AD77" s="19"/>
    </row>
    <row r="78" ht="15.75" customHeight="1">
      <c r="B78" s="19"/>
      <c r="C78" s="20"/>
      <c r="D78" s="21"/>
      <c r="E78" s="22"/>
      <c r="F78" s="19"/>
      <c r="G78" s="23" t="str">
        <f t="array" ref="G78">IF(F78="","",IFERROR(INDEX(Clientas!$F$6:$F$55,MATCH(F78,Clientas!$C$6:$C$55,0)),""))</f>
        <v/>
      </c>
      <c r="H78" s="19"/>
      <c r="I78" s="19"/>
      <c r="J78" s="19"/>
      <c r="K78" s="19"/>
      <c r="L78" s="24">
        <f>IF(OR(I78="",J78="",G78=""),0,IF(G78="Local",SUMIFS(Servicios!$F$6:$F$39,Servicios!$D$6:$D$39,I78,Servicios!$E$6:$E$39,J78),SUMIFS(Servicios!$G$6:$G$39,Servicios!$D$6:$D$39,I78,Servicios!$E$6:$E$39,J78)))</f>
        <v>0</v>
      </c>
      <c r="M78" s="25"/>
      <c r="N78" s="24">
        <f t="shared" si="1"/>
        <v>0</v>
      </c>
      <c r="O78" s="25"/>
      <c r="P78" s="25"/>
      <c r="Q78" s="25"/>
      <c r="R78" s="24">
        <f t="shared" si="2"/>
        <v>0</v>
      </c>
      <c r="S78" s="24">
        <f t="shared" si="3"/>
        <v>0</v>
      </c>
      <c r="T78" s="19"/>
      <c r="U78" s="19"/>
      <c r="V78" s="19"/>
      <c r="W78" s="26" t="str">
        <f t="array" ref="W78">IF(H78="","",IFERROR(INDEX(Manicuristas!$D$6:$D$9,MATCH(H78,Manicuristas!$C$6:$C$9,0)),0))</f>
        <v/>
      </c>
      <c r="X78" s="26" t="str">
        <f t="array" ref="X78">IF(H78="","",IFERROR(INDEX(Manicuristas!$E$6:$E$9,MATCH(H78,Manicuristas!$C$6:$C$9,0)),0))</f>
        <v/>
      </c>
      <c r="Y78" s="26" t="str">
        <f t="array" ref="Y78">IF(H78="","",IFERROR(INDEX(Manicuristas!$F$6:$F$9,MATCH(H78,Manicuristas!$C$6:$C$9,0)),0))</f>
        <v/>
      </c>
      <c r="Z78" s="24">
        <f t="shared" si="4"/>
        <v>0</v>
      </c>
      <c r="AA78" s="24">
        <f t="shared" si="5"/>
        <v>0</v>
      </c>
      <c r="AB78" s="24">
        <f t="shared" si="6"/>
        <v>0</v>
      </c>
      <c r="AC78" s="24">
        <f t="shared" si="7"/>
        <v>0</v>
      </c>
      <c r="AD78" s="19"/>
    </row>
    <row r="79" ht="15.75" customHeight="1">
      <c r="B79" s="19"/>
      <c r="C79" s="20"/>
      <c r="D79" s="21"/>
      <c r="E79" s="22"/>
      <c r="F79" s="19"/>
      <c r="G79" s="23" t="str">
        <f t="array" ref="G79">IF(F79="","",IFERROR(INDEX(Clientas!$F$6:$F$55,MATCH(F79,Clientas!$C$6:$C$55,0)),""))</f>
        <v/>
      </c>
      <c r="H79" s="19"/>
      <c r="I79" s="19"/>
      <c r="J79" s="19"/>
      <c r="K79" s="19"/>
      <c r="L79" s="24">
        <f>IF(OR(I79="",J79="",G79=""),0,IF(G79="Local",SUMIFS(Servicios!$F$6:$F$39,Servicios!$D$6:$D$39,I79,Servicios!$E$6:$E$39,J79),SUMIFS(Servicios!$G$6:$G$39,Servicios!$D$6:$D$39,I79,Servicios!$E$6:$E$39,J79)))</f>
        <v>0</v>
      </c>
      <c r="M79" s="25"/>
      <c r="N79" s="24">
        <f t="shared" si="1"/>
        <v>0</v>
      </c>
      <c r="O79" s="25"/>
      <c r="P79" s="25"/>
      <c r="Q79" s="25"/>
      <c r="R79" s="24">
        <f t="shared" si="2"/>
        <v>0</v>
      </c>
      <c r="S79" s="24">
        <f t="shared" si="3"/>
        <v>0</v>
      </c>
      <c r="T79" s="19"/>
      <c r="U79" s="19"/>
      <c r="V79" s="19"/>
      <c r="W79" s="26" t="str">
        <f t="array" ref="W79">IF(H79="","",IFERROR(INDEX(Manicuristas!$D$6:$D$9,MATCH(H79,Manicuristas!$C$6:$C$9,0)),0))</f>
        <v/>
      </c>
      <c r="X79" s="26" t="str">
        <f t="array" ref="X79">IF(H79="","",IFERROR(INDEX(Manicuristas!$E$6:$E$9,MATCH(H79,Manicuristas!$C$6:$C$9,0)),0))</f>
        <v/>
      </c>
      <c r="Y79" s="26" t="str">
        <f t="array" ref="Y79">IF(H79="","",IFERROR(INDEX(Manicuristas!$F$6:$F$9,MATCH(H79,Manicuristas!$C$6:$C$9,0)),0))</f>
        <v/>
      </c>
      <c r="Z79" s="24">
        <f t="shared" si="4"/>
        <v>0</v>
      </c>
      <c r="AA79" s="24">
        <f t="shared" si="5"/>
        <v>0</v>
      </c>
      <c r="AB79" s="24">
        <f t="shared" si="6"/>
        <v>0</v>
      </c>
      <c r="AC79" s="24">
        <f t="shared" si="7"/>
        <v>0</v>
      </c>
      <c r="AD79" s="19"/>
    </row>
    <row r="80" ht="15.75" customHeight="1">
      <c r="B80" s="19"/>
      <c r="C80" s="20"/>
      <c r="D80" s="21"/>
      <c r="E80" s="22"/>
      <c r="F80" s="19"/>
      <c r="G80" s="23" t="str">
        <f t="array" ref="G80">IF(F80="","",IFERROR(INDEX(Clientas!$F$6:$F$55,MATCH(F80,Clientas!$C$6:$C$55,0)),""))</f>
        <v/>
      </c>
      <c r="H80" s="19"/>
      <c r="I80" s="19"/>
      <c r="J80" s="19"/>
      <c r="K80" s="19"/>
      <c r="L80" s="24">
        <f>IF(OR(I80="",J80="",G80=""),0,IF(G80="Local",SUMIFS(Servicios!$F$6:$F$39,Servicios!$D$6:$D$39,I80,Servicios!$E$6:$E$39,J80),SUMIFS(Servicios!$G$6:$G$39,Servicios!$D$6:$D$39,I80,Servicios!$E$6:$E$39,J80)))</f>
        <v>0</v>
      </c>
      <c r="M80" s="25"/>
      <c r="N80" s="24">
        <f t="shared" si="1"/>
        <v>0</v>
      </c>
      <c r="O80" s="25"/>
      <c r="P80" s="25"/>
      <c r="Q80" s="25"/>
      <c r="R80" s="24">
        <f t="shared" si="2"/>
        <v>0</v>
      </c>
      <c r="S80" s="24">
        <f t="shared" si="3"/>
        <v>0</v>
      </c>
      <c r="T80" s="19"/>
      <c r="U80" s="19"/>
      <c r="V80" s="19"/>
      <c r="W80" s="26" t="str">
        <f t="array" ref="W80">IF(H80="","",IFERROR(INDEX(Manicuristas!$D$6:$D$9,MATCH(H80,Manicuristas!$C$6:$C$9,0)),0))</f>
        <v/>
      </c>
      <c r="X80" s="26" t="str">
        <f t="array" ref="X80">IF(H80="","",IFERROR(INDEX(Manicuristas!$E$6:$E$9,MATCH(H80,Manicuristas!$C$6:$C$9,0)),0))</f>
        <v/>
      </c>
      <c r="Y80" s="26" t="str">
        <f t="array" ref="Y80">IF(H80="","",IFERROR(INDEX(Manicuristas!$F$6:$F$9,MATCH(H80,Manicuristas!$C$6:$C$9,0)),0))</f>
        <v/>
      </c>
      <c r="Z80" s="24">
        <f t="shared" si="4"/>
        <v>0</v>
      </c>
      <c r="AA80" s="24">
        <f t="shared" si="5"/>
        <v>0</v>
      </c>
      <c r="AB80" s="24">
        <f t="shared" si="6"/>
        <v>0</v>
      </c>
      <c r="AC80" s="24">
        <f t="shared" si="7"/>
        <v>0</v>
      </c>
      <c r="AD80" s="19"/>
    </row>
    <row r="81" ht="15.75" customHeight="1">
      <c r="B81" s="19"/>
      <c r="C81" s="20"/>
      <c r="D81" s="21"/>
      <c r="E81" s="22"/>
      <c r="F81" s="19"/>
      <c r="G81" s="23" t="str">
        <f t="array" ref="G81">IF(F81="","",IFERROR(INDEX(Clientas!$F$6:$F$55,MATCH(F81,Clientas!$C$6:$C$55,0)),""))</f>
        <v/>
      </c>
      <c r="H81" s="19"/>
      <c r="I81" s="19"/>
      <c r="J81" s="19"/>
      <c r="K81" s="19"/>
      <c r="L81" s="24">
        <f>IF(OR(I81="",J81="",G81=""),0,IF(G81="Local",SUMIFS(Servicios!$F$6:$F$39,Servicios!$D$6:$D$39,I81,Servicios!$E$6:$E$39,J81),SUMIFS(Servicios!$G$6:$G$39,Servicios!$D$6:$D$39,I81,Servicios!$E$6:$E$39,J81)))</f>
        <v>0</v>
      </c>
      <c r="M81" s="25"/>
      <c r="N81" s="24">
        <f t="shared" si="1"/>
        <v>0</v>
      </c>
      <c r="O81" s="25"/>
      <c r="P81" s="25"/>
      <c r="Q81" s="25"/>
      <c r="R81" s="24">
        <f t="shared" si="2"/>
        <v>0</v>
      </c>
      <c r="S81" s="24">
        <f t="shared" si="3"/>
        <v>0</v>
      </c>
      <c r="T81" s="19"/>
      <c r="U81" s="19"/>
      <c r="V81" s="19"/>
      <c r="W81" s="26" t="str">
        <f t="array" ref="W81">IF(H81="","",IFERROR(INDEX(Manicuristas!$D$6:$D$9,MATCH(H81,Manicuristas!$C$6:$C$9,0)),0))</f>
        <v/>
      </c>
      <c r="X81" s="26" t="str">
        <f t="array" ref="X81">IF(H81="","",IFERROR(INDEX(Manicuristas!$E$6:$E$9,MATCH(H81,Manicuristas!$C$6:$C$9,0)),0))</f>
        <v/>
      </c>
      <c r="Y81" s="26" t="str">
        <f t="array" ref="Y81">IF(H81="","",IFERROR(INDEX(Manicuristas!$F$6:$F$9,MATCH(H81,Manicuristas!$C$6:$C$9,0)),0))</f>
        <v/>
      </c>
      <c r="Z81" s="24">
        <f t="shared" si="4"/>
        <v>0</v>
      </c>
      <c r="AA81" s="24">
        <f t="shared" si="5"/>
        <v>0</v>
      </c>
      <c r="AB81" s="24">
        <f t="shared" si="6"/>
        <v>0</v>
      </c>
      <c r="AC81" s="24">
        <f t="shared" si="7"/>
        <v>0</v>
      </c>
      <c r="AD81" s="19"/>
    </row>
    <row r="82" ht="15.75" customHeight="1">
      <c r="B82" s="19"/>
      <c r="C82" s="20"/>
      <c r="D82" s="21"/>
      <c r="E82" s="22"/>
      <c r="F82" s="19"/>
      <c r="G82" s="23" t="str">
        <f t="array" ref="G82">IF(F82="","",IFERROR(INDEX(Clientas!$F$6:$F$55,MATCH(F82,Clientas!$C$6:$C$55,0)),""))</f>
        <v/>
      </c>
      <c r="H82" s="19"/>
      <c r="I82" s="19"/>
      <c r="J82" s="19"/>
      <c r="K82" s="19"/>
      <c r="L82" s="24">
        <f>IF(OR(I82="",J82="",G82=""),0,IF(G82="Local",SUMIFS(Servicios!$F$6:$F$39,Servicios!$D$6:$D$39,I82,Servicios!$E$6:$E$39,J82),SUMIFS(Servicios!$G$6:$G$39,Servicios!$D$6:$D$39,I82,Servicios!$E$6:$E$39,J82)))</f>
        <v>0</v>
      </c>
      <c r="M82" s="25"/>
      <c r="N82" s="24">
        <f t="shared" si="1"/>
        <v>0</v>
      </c>
      <c r="O82" s="25"/>
      <c r="P82" s="25"/>
      <c r="Q82" s="25"/>
      <c r="R82" s="24">
        <f t="shared" si="2"/>
        <v>0</v>
      </c>
      <c r="S82" s="24">
        <f t="shared" si="3"/>
        <v>0</v>
      </c>
      <c r="T82" s="19"/>
      <c r="U82" s="19"/>
      <c r="V82" s="19"/>
      <c r="W82" s="26" t="str">
        <f t="array" ref="W82">IF(H82="","",IFERROR(INDEX(Manicuristas!$D$6:$D$9,MATCH(H82,Manicuristas!$C$6:$C$9,0)),0))</f>
        <v/>
      </c>
      <c r="X82" s="26" t="str">
        <f t="array" ref="X82">IF(H82="","",IFERROR(INDEX(Manicuristas!$E$6:$E$9,MATCH(H82,Manicuristas!$C$6:$C$9,0)),0))</f>
        <v/>
      </c>
      <c r="Y82" s="26" t="str">
        <f t="array" ref="Y82">IF(H82="","",IFERROR(INDEX(Manicuristas!$F$6:$F$9,MATCH(H82,Manicuristas!$C$6:$C$9,0)),0))</f>
        <v/>
      </c>
      <c r="Z82" s="24">
        <f t="shared" si="4"/>
        <v>0</v>
      </c>
      <c r="AA82" s="24">
        <f t="shared" si="5"/>
        <v>0</v>
      </c>
      <c r="AB82" s="24">
        <f t="shared" si="6"/>
        <v>0</v>
      </c>
      <c r="AC82" s="24">
        <f t="shared" si="7"/>
        <v>0</v>
      </c>
      <c r="AD82" s="19"/>
    </row>
    <row r="83" ht="15.75" customHeight="1">
      <c r="B83" s="19"/>
      <c r="C83" s="20"/>
      <c r="D83" s="21"/>
      <c r="E83" s="22"/>
      <c r="F83" s="19"/>
      <c r="G83" s="23" t="str">
        <f t="array" ref="G83">IF(F83="","",IFERROR(INDEX(Clientas!$F$6:$F$55,MATCH(F83,Clientas!$C$6:$C$55,0)),""))</f>
        <v/>
      </c>
      <c r="H83" s="19"/>
      <c r="I83" s="19"/>
      <c r="J83" s="19"/>
      <c r="K83" s="19"/>
      <c r="L83" s="24">
        <f>IF(OR(I83="",J83="",G83=""),0,IF(G83="Local",SUMIFS(Servicios!$F$6:$F$39,Servicios!$D$6:$D$39,I83,Servicios!$E$6:$E$39,J83),SUMIFS(Servicios!$G$6:$G$39,Servicios!$D$6:$D$39,I83,Servicios!$E$6:$E$39,J83)))</f>
        <v>0</v>
      </c>
      <c r="M83" s="25"/>
      <c r="N83" s="24">
        <f t="shared" si="1"/>
        <v>0</v>
      </c>
      <c r="O83" s="25"/>
      <c r="P83" s="25"/>
      <c r="Q83" s="25"/>
      <c r="R83" s="24">
        <f t="shared" si="2"/>
        <v>0</v>
      </c>
      <c r="S83" s="24">
        <f t="shared" si="3"/>
        <v>0</v>
      </c>
      <c r="T83" s="19"/>
      <c r="U83" s="19"/>
      <c r="V83" s="19"/>
      <c r="W83" s="26" t="str">
        <f t="array" ref="W83">IF(H83="","",IFERROR(INDEX(Manicuristas!$D$6:$D$9,MATCH(H83,Manicuristas!$C$6:$C$9,0)),0))</f>
        <v/>
      </c>
      <c r="X83" s="26" t="str">
        <f t="array" ref="X83">IF(H83="","",IFERROR(INDEX(Manicuristas!$E$6:$E$9,MATCH(H83,Manicuristas!$C$6:$C$9,0)),0))</f>
        <v/>
      </c>
      <c r="Y83" s="26" t="str">
        <f t="array" ref="Y83">IF(H83="","",IFERROR(INDEX(Manicuristas!$F$6:$F$9,MATCH(H83,Manicuristas!$C$6:$C$9,0)),0))</f>
        <v/>
      </c>
      <c r="Z83" s="24">
        <f t="shared" si="4"/>
        <v>0</v>
      </c>
      <c r="AA83" s="24">
        <f t="shared" si="5"/>
        <v>0</v>
      </c>
      <c r="AB83" s="24">
        <f t="shared" si="6"/>
        <v>0</v>
      </c>
      <c r="AC83" s="24">
        <f t="shared" si="7"/>
        <v>0</v>
      </c>
      <c r="AD83" s="19"/>
    </row>
    <row r="84" ht="15.75" customHeight="1">
      <c r="B84" s="19"/>
      <c r="C84" s="20"/>
      <c r="D84" s="21"/>
      <c r="E84" s="22"/>
      <c r="F84" s="19"/>
      <c r="G84" s="23" t="str">
        <f t="array" ref="G84">IF(F84="","",IFERROR(INDEX(Clientas!$F$6:$F$55,MATCH(F84,Clientas!$C$6:$C$55,0)),""))</f>
        <v/>
      </c>
      <c r="H84" s="19"/>
      <c r="I84" s="19"/>
      <c r="J84" s="19"/>
      <c r="K84" s="19"/>
      <c r="L84" s="24">
        <f>IF(OR(I84="",J84="",G84=""),0,IF(G84="Local",SUMIFS(Servicios!$F$6:$F$39,Servicios!$D$6:$D$39,I84,Servicios!$E$6:$E$39,J84),SUMIFS(Servicios!$G$6:$G$39,Servicios!$D$6:$D$39,I84,Servicios!$E$6:$E$39,J84)))</f>
        <v>0</v>
      </c>
      <c r="M84" s="25"/>
      <c r="N84" s="24">
        <f t="shared" si="1"/>
        <v>0</v>
      </c>
      <c r="O84" s="25"/>
      <c r="P84" s="25"/>
      <c r="Q84" s="25"/>
      <c r="R84" s="24">
        <f t="shared" si="2"/>
        <v>0</v>
      </c>
      <c r="S84" s="24">
        <f t="shared" si="3"/>
        <v>0</v>
      </c>
      <c r="T84" s="19"/>
      <c r="U84" s="19"/>
      <c r="V84" s="19"/>
      <c r="W84" s="26" t="str">
        <f t="array" ref="W84">IF(H84="","",IFERROR(INDEX(Manicuristas!$D$6:$D$9,MATCH(H84,Manicuristas!$C$6:$C$9,0)),0))</f>
        <v/>
      </c>
      <c r="X84" s="26" t="str">
        <f t="array" ref="X84">IF(H84="","",IFERROR(INDEX(Manicuristas!$E$6:$E$9,MATCH(H84,Manicuristas!$C$6:$C$9,0)),0))</f>
        <v/>
      </c>
      <c r="Y84" s="26" t="str">
        <f t="array" ref="Y84">IF(H84="","",IFERROR(INDEX(Manicuristas!$F$6:$F$9,MATCH(H84,Manicuristas!$C$6:$C$9,0)),0))</f>
        <v/>
      </c>
      <c r="Z84" s="24">
        <f t="shared" si="4"/>
        <v>0</v>
      </c>
      <c r="AA84" s="24">
        <f t="shared" si="5"/>
        <v>0</v>
      </c>
      <c r="AB84" s="24">
        <f t="shared" si="6"/>
        <v>0</v>
      </c>
      <c r="AC84" s="24">
        <f t="shared" si="7"/>
        <v>0</v>
      </c>
      <c r="AD84" s="19"/>
    </row>
    <row r="85" ht="15.75" customHeight="1">
      <c r="B85" s="19"/>
      <c r="C85" s="20"/>
      <c r="D85" s="21"/>
      <c r="E85" s="22"/>
      <c r="F85" s="19"/>
      <c r="G85" s="23" t="str">
        <f t="array" ref="G85">IF(F85="","",IFERROR(INDEX(Clientas!$F$6:$F$55,MATCH(F85,Clientas!$C$6:$C$55,0)),""))</f>
        <v/>
      </c>
      <c r="H85" s="19"/>
      <c r="I85" s="19"/>
      <c r="J85" s="19"/>
      <c r="K85" s="19"/>
      <c r="L85" s="24">
        <f>IF(OR(I85="",J85="",G85=""),0,IF(G85="Local",SUMIFS(Servicios!$F$6:$F$39,Servicios!$D$6:$D$39,I85,Servicios!$E$6:$E$39,J85),SUMIFS(Servicios!$G$6:$G$39,Servicios!$D$6:$D$39,I85,Servicios!$E$6:$E$39,J85)))</f>
        <v>0</v>
      </c>
      <c r="M85" s="25"/>
      <c r="N85" s="24">
        <f t="shared" si="1"/>
        <v>0</v>
      </c>
      <c r="O85" s="25"/>
      <c r="P85" s="25"/>
      <c r="Q85" s="25"/>
      <c r="R85" s="24">
        <f t="shared" si="2"/>
        <v>0</v>
      </c>
      <c r="S85" s="24">
        <f t="shared" si="3"/>
        <v>0</v>
      </c>
      <c r="T85" s="19"/>
      <c r="U85" s="19"/>
      <c r="V85" s="19"/>
      <c r="W85" s="26" t="str">
        <f t="array" ref="W85">IF(H85="","",IFERROR(INDEX(Manicuristas!$D$6:$D$9,MATCH(H85,Manicuristas!$C$6:$C$9,0)),0))</f>
        <v/>
      </c>
      <c r="X85" s="26" t="str">
        <f t="array" ref="X85">IF(H85="","",IFERROR(INDEX(Manicuristas!$E$6:$E$9,MATCH(H85,Manicuristas!$C$6:$C$9,0)),0))</f>
        <v/>
      </c>
      <c r="Y85" s="26" t="str">
        <f t="array" ref="Y85">IF(H85="","",IFERROR(INDEX(Manicuristas!$F$6:$F$9,MATCH(H85,Manicuristas!$C$6:$C$9,0)),0))</f>
        <v/>
      </c>
      <c r="Z85" s="24">
        <f t="shared" si="4"/>
        <v>0</v>
      </c>
      <c r="AA85" s="24">
        <f t="shared" si="5"/>
        <v>0</v>
      </c>
      <c r="AB85" s="24">
        <f t="shared" si="6"/>
        <v>0</v>
      </c>
      <c r="AC85" s="24">
        <f t="shared" si="7"/>
        <v>0</v>
      </c>
      <c r="AD85" s="19"/>
    </row>
    <row r="86" ht="15.75" customHeight="1">
      <c r="B86" s="19"/>
      <c r="C86" s="20"/>
      <c r="D86" s="21"/>
      <c r="E86" s="22"/>
      <c r="F86" s="19"/>
      <c r="G86" s="23" t="str">
        <f t="array" ref="G86">IF(F86="","",IFERROR(INDEX(Clientas!$F$6:$F$55,MATCH(F86,Clientas!$C$6:$C$55,0)),""))</f>
        <v/>
      </c>
      <c r="H86" s="19"/>
      <c r="I86" s="19"/>
      <c r="J86" s="19"/>
      <c r="K86" s="19"/>
      <c r="L86" s="24">
        <f>IF(OR(I86="",J86="",G86=""),0,IF(G86="Local",SUMIFS(Servicios!$F$6:$F$39,Servicios!$D$6:$D$39,I86,Servicios!$E$6:$E$39,J86),SUMIFS(Servicios!$G$6:$G$39,Servicios!$D$6:$D$39,I86,Servicios!$E$6:$E$39,J86)))</f>
        <v>0</v>
      </c>
      <c r="M86" s="25"/>
      <c r="N86" s="24">
        <f t="shared" si="1"/>
        <v>0</v>
      </c>
      <c r="O86" s="25"/>
      <c r="P86" s="25"/>
      <c r="Q86" s="25"/>
      <c r="R86" s="24">
        <f t="shared" si="2"/>
        <v>0</v>
      </c>
      <c r="S86" s="24">
        <f t="shared" si="3"/>
        <v>0</v>
      </c>
      <c r="T86" s="19"/>
      <c r="U86" s="19"/>
      <c r="V86" s="19"/>
      <c r="W86" s="26" t="str">
        <f t="array" ref="W86">IF(H86="","",IFERROR(INDEX(Manicuristas!$D$6:$D$9,MATCH(H86,Manicuristas!$C$6:$C$9,0)),0))</f>
        <v/>
      </c>
      <c r="X86" s="26" t="str">
        <f t="array" ref="X86">IF(H86="","",IFERROR(INDEX(Manicuristas!$E$6:$E$9,MATCH(H86,Manicuristas!$C$6:$C$9,0)),0))</f>
        <v/>
      </c>
      <c r="Y86" s="26" t="str">
        <f t="array" ref="Y86">IF(H86="","",IFERROR(INDEX(Manicuristas!$F$6:$F$9,MATCH(H86,Manicuristas!$C$6:$C$9,0)),0))</f>
        <v/>
      </c>
      <c r="Z86" s="24">
        <f t="shared" si="4"/>
        <v>0</v>
      </c>
      <c r="AA86" s="24">
        <f t="shared" si="5"/>
        <v>0</v>
      </c>
      <c r="AB86" s="24">
        <f t="shared" si="6"/>
        <v>0</v>
      </c>
      <c r="AC86" s="24">
        <f t="shared" si="7"/>
        <v>0</v>
      </c>
      <c r="AD86" s="19"/>
    </row>
    <row r="87" ht="15.75" customHeight="1">
      <c r="B87" s="19"/>
      <c r="C87" s="20"/>
      <c r="D87" s="21"/>
      <c r="E87" s="22"/>
      <c r="F87" s="19"/>
      <c r="G87" s="23" t="str">
        <f t="array" ref="G87">IF(F87="","",IFERROR(INDEX(Clientas!$F$6:$F$55,MATCH(F87,Clientas!$C$6:$C$55,0)),""))</f>
        <v/>
      </c>
      <c r="H87" s="19"/>
      <c r="I87" s="19"/>
      <c r="J87" s="19"/>
      <c r="K87" s="19"/>
      <c r="L87" s="24">
        <f>IF(OR(I87="",J87="",G87=""),0,IF(G87="Local",SUMIFS(Servicios!$F$6:$F$39,Servicios!$D$6:$D$39,I87,Servicios!$E$6:$E$39,J87),SUMIFS(Servicios!$G$6:$G$39,Servicios!$D$6:$D$39,I87,Servicios!$E$6:$E$39,J87)))</f>
        <v>0</v>
      </c>
      <c r="M87" s="25"/>
      <c r="N87" s="24">
        <f t="shared" si="1"/>
        <v>0</v>
      </c>
      <c r="O87" s="25"/>
      <c r="P87" s="25"/>
      <c r="Q87" s="25"/>
      <c r="R87" s="24">
        <f t="shared" si="2"/>
        <v>0</v>
      </c>
      <c r="S87" s="24">
        <f t="shared" si="3"/>
        <v>0</v>
      </c>
      <c r="T87" s="19"/>
      <c r="U87" s="19"/>
      <c r="V87" s="19"/>
      <c r="W87" s="26" t="str">
        <f t="array" ref="W87">IF(H87="","",IFERROR(INDEX(Manicuristas!$D$6:$D$9,MATCH(H87,Manicuristas!$C$6:$C$9,0)),0))</f>
        <v/>
      </c>
      <c r="X87" s="26" t="str">
        <f t="array" ref="X87">IF(H87="","",IFERROR(INDEX(Manicuristas!$E$6:$E$9,MATCH(H87,Manicuristas!$C$6:$C$9,0)),0))</f>
        <v/>
      </c>
      <c r="Y87" s="26" t="str">
        <f t="array" ref="Y87">IF(H87="","",IFERROR(INDEX(Manicuristas!$F$6:$F$9,MATCH(H87,Manicuristas!$C$6:$C$9,0)),0))</f>
        <v/>
      </c>
      <c r="Z87" s="24">
        <f t="shared" si="4"/>
        <v>0</v>
      </c>
      <c r="AA87" s="24">
        <f t="shared" si="5"/>
        <v>0</v>
      </c>
      <c r="AB87" s="24">
        <f t="shared" si="6"/>
        <v>0</v>
      </c>
      <c r="AC87" s="24">
        <f t="shared" si="7"/>
        <v>0</v>
      </c>
      <c r="AD87" s="19"/>
    </row>
    <row r="88" ht="15.75" customHeight="1">
      <c r="B88" s="19"/>
      <c r="C88" s="20"/>
      <c r="D88" s="21"/>
      <c r="E88" s="22"/>
      <c r="F88" s="19"/>
      <c r="G88" s="23" t="str">
        <f t="array" ref="G88">IF(F88="","",IFERROR(INDEX(Clientas!$F$6:$F$55,MATCH(F88,Clientas!$C$6:$C$55,0)),""))</f>
        <v/>
      </c>
      <c r="H88" s="19"/>
      <c r="I88" s="19"/>
      <c r="J88" s="19"/>
      <c r="K88" s="19"/>
      <c r="L88" s="24">
        <f>IF(OR(I88="",J88="",G88=""),0,IF(G88="Local",SUMIFS(Servicios!$F$6:$F$39,Servicios!$D$6:$D$39,I88,Servicios!$E$6:$E$39,J88),SUMIFS(Servicios!$G$6:$G$39,Servicios!$D$6:$D$39,I88,Servicios!$E$6:$E$39,J88)))</f>
        <v>0</v>
      </c>
      <c r="M88" s="25"/>
      <c r="N88" s="24">
        <f t="shared" si="1"/>
        <v>0</v>
      </c>
      <c r="O88" s="25"/>
      <c r="P88" s="25"/>
      <c r="Q88" s="25"/>
      <c r="R88" s="24">
        <f t="shared" si="2"/>
        <v>0</v>
      </c>
      <c r="S88" s="24">
        <f t="shared" si="3"/>
        <v>0</v>
      </c>
      <c r="T88" s="19"/>
      <c r="U88" s="19"/>
      <c r="V88" s="19"/>
      <c r="W88" s="26" t="str">
        <f t="array" ref="W88">IF(H88="","",IFERROR(INDEX(Manicuristas!$D$6:$D$9,MATCH(H88,Manicuristas!$C$6:$C$9,0)),0))</f>
        <v/>
      </c>
      <c r="X88" s="26" t="str">
        <f t="array" ref="X88">IF(H88="","",IFERROR(INDEX(Manicuristas!$E$6:$E$9,MATCH(H88,Manicuristas!$C$6:$C$9,0)),0))</f>
        <v/>
      </c>
      <c r="Y88" s="26" t="str">
        <f t="array" ref="Y88">IF(H88="","",IFERROR(INDEX(Manicuristas!$F$6:$F$9,MATCH(H88,Manicuristas!$C$6:$C$9,0)),0))</f>
        <v/>
      </c>
      <c r="Z88" s="24">
        <f t="shared" si="4"/>
        <v>0</v>
      </c>
      <c r="AA88" s="24">
        <f t="shared" si="5"/>
        <v>0</v>
      </c>
      <c r="AB88" s="24">
        <f t="shared" si="6"/>
        <v>0</v>
      </c>
      <c r="AC88" s="24">
        <f t="shared" si="7"/>
        <v>0</v>
      </c>
      <c r="AD88" s="19"/>
    </row>
    <row r="89" ht="15.75" customHeight="1">
      <c r="B89" s="19"/>
      <c r="C89" s="20"/>
      <c r="D89" s="21"/>
      <c r="E89" s="22"/>
      <c r="F89" s="19"/>
      <c r="G89" s="23" t="str">
        <f t="array" ref="G89">IF(F89="","",IFERROR(INDEX(Clientas!$F$6:$F$55,MATCH(F89,Clientas!$C$6:$C$55,0)),""))</f>
        <v/>
      </c>
      <c r="H89" s="19"/>
      <c r="I89" s="19"/>
      <c r="J89" s="19"/>
      <c r="K89" s="19"/>
      <c r="L89" s="24">
        <f>IF(OR(I89="",J89="",G89=""),0,IF(G89="Local",SUMIFS(Servicios!$F$6:$F$39,Servicios!$D$6:$D$39,I89,Servicios!$E$6:$E$39,J89),SUMIFS(Servicios!$G$6:$G$39,Servicios!$D$6:$D$39,I89,Servicios!$E$6:$E$39,J89)))</f>
        <v>0</v>
      </c>
      <c r="M89" s="25"/>
      <c r="N89" s="24">
        <f t="shared" si="1"/>
        <v>0</v>
      </c>
      <c r="O89" s="25"/>
      <c r="P89" s="25"/>
      <c r="Q89" s="25"/>
      <c r="R89" s="24">
        <f t="shared" si="2"/>
        <v>0</v>
      </c>
      <c r="S89" s="24">
        <f t="shared" si="3"/>
        <v>0</v>
      </c>
      <c r="T89" s="19"/>
      <c r="U89" s="19"/>
      <c r="V89" s="19"/>
      <c r="W89" s="26" t="str">
        <f t="array" ref="W89">IF(H89="","",IFERROR(INDEX(Manicuristas!$D$6:$D$9,MATCH(H89,Manicuristas!$C$6:$C$9,0)),0))</f>
        <v/>
      </c>
      <c r="X89" s="26" t="str">
        <f t="array" ref="X89">IF(H89="","",IFERROR(INDEX(Manicuristas!$E$6:$E$9,MATCH(H89,Manicuristas!$C$6:$C$9,0)),0))</f>
        <v/>
      </c>
      <c r="Y89" s="26" t="str">
        <f t="array" ref="Y89">IF(H89="","",IFERROR(INDEX(Manicuristas!$F$6:$F$9,MATCH(H89,Manicuristas!$C$6:$C$9,0)),0))</f>
        <v/>
      </c>
      <c r="Z89" s="24">
        <f t="shared" si="4"/>
        <v>0</v>
      </c>
      <c r="AA89" s="24">
        <f t="shared" si="5"/>
        <v>0</v>
      </c>
      <c r="AB89" s="24">
        <f t="shared" si="6"/>
        <v>0</v>
      </c>
      <c r="AC89" s="24">
        <f t="shared" si="7"/>
        <v>0</v>
      </c>
      <c r="AD89" s="19"/>
    </row>
    <row r="90" ht="15.75" customHeight="1">
      <c r="B90" s="19"/>
      <c r="C90" s="20"/>
      <c r="D90" s="21"/>
      <c r="E90" s="22"/>
      <c r="F90" s="19"/>
      <c r="G90" s="23" t="str">
        <f t="array" ref="G90">IF(F90="","",IFERROR(INDEX(Clientas!$F$6:$F$55,MATCH(F90,Clientas!$C$6:$C$55,0)),""))</f>
        <v/>
      </c>
      <c r="H90" s="19"/>
      <c r="I90" s="19"/>
      <c r="J90" s="19"/>
      <c r="K90" s="19"/>
      <c r="L90" s="24">
        <f>IF(OR(I90="",J90="",G90=""),0,IF(G90="Local",SUMIFS(Servicios!$F$6:$F$39,Servicios!$D$6:$D$39,I90,Servicios!$E$6:$E$39,J90),SUMIFS(Servicios!$G$6:$G$39,Servicios!$D$6:$D$39,I90,Servicios!$E$6:$E$39,J90)))</f>
        <v>0</v>
      </c>
      <c r="M90" s="25"/>
      <c r="N90" s="24">
        <f t="shared" si="1"/>
        <v>0</v>
      </c>
      <c r="O90" s="25"/>
      <c r="P90" s="25"/>
      <c r="Q90" s="25"/>
      <c r="R90" s="24">
        <f t="shared" si="2"/>
        <v>0</v>
      </c>
      <c r="S90" s="24">
        <f t="shared" si="3"/>
        <v>0</v>
      </c>
      <c r="T90" s="19"/>
      <c r="U90" s="19"/>
      <c r="V90" s="19"/>
      <c r="W90" s="26" t="str">
        <f t="array" ref="W90">IF(H90="","",IFERROR(INDEX(Manicuristas!$D$6:$D$9,MATCH(H90,Manicuristas!$C$6:$C$9,0)),0))</f>
        <v/>
      </c>
      <c r="X90" s="26" t="str">
        <f t="array" ref="X90">IF(H90="","",IFERROR(INDEX(Manicuristas!$E$6:$E$9,MATCH(H90,Manicuristas!$C$6:$C$9,0)),0))</f>
        <v/>
      </c>
      <c r="Y90" s="26" t="str">
        <f t="array" ref="Y90">IF(H90="","",IFERROR(INDEX(Manicuristas!$F$6:$F$9,MATCH(H90,Manicuristas!$C$6:$C$9,0)),0))</f>
        <v/>
      </c>
      <c r="Z90" s="24">
        <f t="shared" si="4"/>
        <v>0</v>
      </c>
      <c r="AA90" s="24">
        <f t="shared" si="5"/>
        <v>0</v>
      </c>
      <c r="AB90" s="24">
        <f t="shared" si="6"/>
        <v>0</v>
      </c>
      <c r="AC90" s="24">
        <f t="shared" si="7"/>
        <v>0</v>
      </c>
      <c r="AD90" s="19"/>
    </row>
    <row r="91" ht="15.75" customHeight="1">
      <c r="B91" s="19"/>
      <c r="C91" s="20"/>
      <c r="D91" s="21"/>
      <c r="E91" s="22"/>
      <c r="F91" s="19"/>
      <c r="G91" s="23" t="str">
        <f t="array" ref="G91">IF(F91="","",IFERROR(INDEX(Clientas!$F$6:$F$55,MATCH(F91,Clientas!$C$6:$C$55,0)),""))</f>
        <v/>
      </c>
      <c r="H91" s="19"/>
      <c r="I91" s="19"/>
      <c r="J91" s="19"/>
      <c r="K91" s="19"/>
      <c r="L91" s="24">
        <f>IF(OR(I91="",J91="",G91=""),0,IF(G91="Local",SUMIFS(Servicios!$F$6:$F$39,Servicios!$D$6:$D$39,I91,Servicios!$E$6:$E$39,J91),SUMIFS(Servicios!$G$6:$G$39,Servicios!$D$6:$D$39,I91,Servicios!$E$6:$E$39,J91)))</f>
        <v>0</v>
      </c>
      <c r="M91" s="25"/>
      <c r="N91" s="24">
        <f t="shared" si="1"/>
        <v>0</v>
      </c>
      <c r="O91" s="25"/>
      <c r="P91" s="25"/>
      <c r="Q91" s="25"/>
      <c r="R91" s="24">
        <f t="shared" si="2"/>
        <v>0</v>
      </c>
      <c r="S91" s="24">
        <f t="shared" si="3"/>
        <v>0</v>
      </c>
      <c r="T91" s="19"/>
      <c r="U91" s="19"/>
      <c r="V91" s="19"/>
      <c r="W91" s="26" t="str">
        <f t="array" ref="W91">IF(H91="","",IFERROR(INDEX(Manicuristas!$D$6:$D$9,MATCH(H91,Manicuristas!$C$6:$C$9,0)),0))</f>
        <v/>
      </c>
      <c r="X91" s="26" t="str">
        <f t="array" ref="X91">IF(H91="","",IFERROR(INDEX(Manicuristas!$E$6:$E$9,MATCH(H91,Manicuristas!$C$6:$C$9,0)),0))</f>
        <v/>
      </c>
      <c r="Y91" s="26" t="str">
        <f t="array" ref="Y91">IF(H91="","",IFERROR(INDEX(Manicuristas!$F$6:$F$9,MATCH(H91,Manicuristas!$C$6:$C$9,0)),0))</f>
        <v/>
      </c>
      <c r="Z91" s="24">
        <f t="shared" si="4"/>
        <v>0</v>
      </c>
      <c r="AA91" s="24">
        <f t="shared" si="5"/>
        <v>0</v>
      </c>
      <c r="AB91" s="24">
        <f t="shared" si="6"/>
        <v>0</v>
      </c>
      <c r="AC91" s="24">
        <f t="shared" si="7"/>
        <v>0</v>
      </c>
      <c r="AD91" s="19"/>
    </row>
    <row r="92" ht="15.75" customHeight="1">
      <c r="B92" s="19"/>
      <c r="C92" s="20"/>
      <c r="D92" s="21"/>
      <c r="E92" s="22"/>
      <c r="F92" s="19"/>
      <c r="G92" s="23" t="str">
        <f t="array" ref="G92">IF(F92="","",IFERROR(INDEX(Clientas!$F$6:$F$55,MATCH(F92,Clientas!$C$6:$C$55,0)),""))</f>
        <v/>
      </c>
      <c r="H92" s="19"/>
      <c r="I92" s="19"/>
      <c r="J92" s="19"/>
      <c r="K92" s="19"/>
      <c r="L92" s="24">
        <f>IF(OR(I92="",J92="",G92=""),0,IF(G92="Local",SUMIFS(Servicios!$F$6:$F$39,Servicios!$D$6:$D$39,I92,Servicios!$E$6:$E$39,J92),SUMIFS(Servicios!$G$6:$G$39,Servicios!$D$6:$D$39,I92,Servicios!$E$6:$E$39,J92)))</f>
        <v>0</v>
      </c>
      <c r="M92" s="25"/>
      <c r="N92" s="24">
        <f t="shared" si="1"/>
        <v>0</v>
      </c>
      <c r="O92" s="25"/>
      <c r="P92" s="25"/>
      <c r="Q92" s="25"/>
      <c r="R92" s="24">
        <f t="shared" si="2"/>
        <v>0</v>
      </c>
      <c r="S92" s="24">
        <f t="shared" si="3"/>
        <v>0</v>
      </c>
      <c r="T92" s="19"/>
      <c r="U92" s="19"/>
      <c r="V92" s="19"/>
      <c r="W92" s="26" t="str">
        <f t="array" ref="W92">IF(H92="","",IFERROR(INDEX(Manicuristas!$D$6:$D$9,MATCH(H92,Manicuristas!$C$6:$C$9,0)),0))</f>
        <v/>
      </c>
      <c r="X92" s="26" t="str">
        <f t="array" ref="X92">IF(H92="","",IFERROR(INDEX(Manicuristas!$E$6:$E$9,MATCH(H92,Manicuristas!$C$6:$C$9,0)),0))</f>
        <v/>
      </c>
      <c r="Y92" s="26" t="str">
        <f t="array" ref="Y92">IF(H92="","",IFERROR(INDEX(Manicuristas!$F$6:$F$9,MATCH(H92,Manicuristas!$C$6:$C$9,0)),0))</f>
        <v/>
      </c>
      <c r="Z92" s="24">
        <f t="shared" si="4"/>
        <v>0</v>
      </c>
      <c r="AA92" s="24">
        <f t="shared" si="5"/>
        <v>0</v>
      </c>
      <c r="AB92" s="24">
        <f t="shared" si="6"/>
        <v>0</v>
      </c>
      <c r="AC92" s="24">
        <f t="shared" si="7"/>
        <v>0</v>
      </c>
      <c r="AD92" s="19"/>
    </row>
    <row r="93" ht="15.75" customHeight="1">
      <c r="B93" s="19"/>
      <c r="C93" s="20"/>
      <c r="D93" s="21"/>
      <c r="E93" s="22"/>
      <c r="F93" s="19"/>
      <c r="G93" s="23" t="str">
        <f t="array" ref="G93">IF(F93="","",IFERROR(INDEX(Clientas!$F$6:$F$55,MATCH(F93,Clientas!$C$6:$C$55,0)),""))</f>
        <v/>
      </c>
      <c r="H93" s="19"/>
      <c r="I93" s="19"/>
      <c r="J93" s="19"/>
      <c r="K93" s="19"/>
      <c r="L93" s="24">
        <f>IF(OR(I93="",J93="",G93=""),0,IF(G93="Local",SUMIFS(Servicios!$F$6:$F$39,Servicios!$D$6:$D$39,I93,Servicios!$E$6:$E$39,J93),SUMIFS(Servicios!$G$6:$G$39,Servicios!$D$6:$D$39,I93,Servicios!$E$6:$E$39,J93)))</f>
        <v>0</v>
      </c>
      <c r="M93" s="25"/>
      <c r="N93" s="24">
        <f t="shared" si="1"/>
        <v>0</v>
      </c>
      <c r="O93" s="25"/>
      <c r="P93" s="25"/>
      <c r="Q93" s="25"/>
      <c r="R93" s="24">
        <f t="shared" si="2"/>
        <v>0</v>
      </c>
      <c r="S93" s="24">
        <f t="shared" si="3"/>
        <v>0</v>
      </c>
      <c r="T93" s="19"/>
      <c r="U93" s="19"/>
      <c r="V93" s="19"/>
      <c r="W93" s="26" t="str">
        <f t="array" ref="W93">IF(H93="","",IFERROR(INDEX(Manicuristas!$D$6:$D$9,MATCH(H93,Manicuristas!$C$6:$C$9,0)),0))</f>
        <v/>
      </c>
      <c r="X93" s="26" t="str">
        <f t="array" ref="X93">IF(H93="","",IFERROR(INDEX(Manicuristas!$E$6:$E$9,MATCH(H93,Manicuristas!$C$6:$C$9,0)),0))</f>
        <v/>
      </c>
      <c r="Y93" s="26" t="str">
        <f t="array" ref="Y93">IF(H93="","",IFERROR(INDEX(Manicuristas!$F$6:$F$9,MATCH(H93,Manicuristas!$C$6:$C$9,0)),0))</f>
        <v/>
      </c>
      <c r="Z93" s="24">
        <f t="shared" si="4"/>
        <v>0</v>
      </c>
      <c r="AA93" s="24">
        <f t="shared" si="5"/>
        <v>0</v>
      </c>
      <c r="AB93" s="24">
        <f t="shared" si="6"/>
        <v>0</v>
      </c>
      <c r="AC93" s="24">
        <f t="shared" si="7"/>
        <v>0</v>
      </c>
      <c r="AD93" s="19"/>
    </row>
    <row r="94" ht="15.75" customHeight="1">
      <c r="B94" s="19"/>
      <c r="C94" s="20"/>
      <c r="D94" s="21"/>
      <c r="E94" s="22"/>
      <c r="F94" s="19"/>
      <c r="G94" s="23" t="str">
        <f t="array" ref="G94">IF(F94="","",IFERROR(INDEX(Clientas!$F$6:$F$55,MATCH(F94,Clientas!$C$6:$C$55,0)),""))</f>
        <v/>
      </c>
      <c r="H94" s="19"/>
      <c r="I94" s="19"/>
      <c r="J94" s="19"/>
      <c r="K94" s="19"/>
      <c r="L94" s="24">
        <f>IF(OR(I94="",J94="",G94=""),0,IF(G94="Local",SUMIFS(Servicios!$F$6:$F$39,Servicios!$D$6:$D$39,I94,Servicios!$E$6:$E$39,J94),SUMIFS(Servicios!$G$6:$G$39,Servicios!$D$6:$D$39,I94,Servicios!$E$6:$E$39,J94)))</f>
        <v>0</v>
      </c>
      <c r="M94" s="25"/>
      <c r="N94" s="24">
        <f t="shared" si="1"/>
        <v>0</v>
      </c>
      <c r="O94" s="25"/>
      <c r="P94" s="25"/>
      <c r="Q94" s="25"/>
      <c r="R94" s="24">
        <f t="shared" si="2"/>
        <v>0</v>
      </c>
      <c r="S94" s="24">
        <f t="shared" si="3"/>
        <v>0</v>
      </c>
      <c r="T94" s="19"/>
      <c r="U94" s="19"/>
      <c r="V94" s="19"/>
      <c r="W94" s="26" t="str">
        <f t="array" ref="W94">IF(H94="","",IFERROR(INDEX(Manicuristas!$D$6:$D$9,MATCH(H94,Manicuristas!$C$6:$C$9,0)),0))</f>
        <v/>
      </c>
      <c r="X94" s="26" t="str">
        <f t="array" ref="X94">IF(H94="","",IFERROR(INDEX(Manicuristas!$E$6:$E$9,MATCH(H94,Manicuristas!$C$6:$C$9,0)),0))</f>
        <v/>
      </c>
      <c r="Y94" s="26" t="str">
        <f t="array" ref="Y94">IF(H94="","",IFERROR(INDEX(Manicuristas!$F$6:$F$9,MATCH(H94,Manicuristas!$C$6:$C$9,0)),0))</f>
        <v/>
      </c>
      <c r="Z94" s="24">
        <f t="shared" si="4"/>
        <v>0</v>
      </c>
      <c r="AA94" s="24">
        <f t="shared" si="5"/>
        <v>0</v>
      </c>
      <c r="AB94" s="24">
        <f t="shared" si="6"/>
        <v>0</v>
      </c>
      <c r="AC94" s="24">
        <f t="shared" si="7"/>
        <v>0</v>
      </c>
      <c r="AD94" s="19"/>
    </row>
    <row r="95" ht="15.75" customHeight="1">
      <c r="B95" s="19"/>
      <c r="C95" s="20"/>
      <c r="D95" s="21"/>
      <c r="E95" s="22"/>
      <c r="F95" s="19"/>
      <c r="G95" s="23" t="str">
        <f t="array" ref="G95">IF(F95="","",IFERROR(INDEX(Clientas!$F$6:$F$55,MATCH(F95,Clientas!$C$6:$C$55,0)),""))</f>
        <v/>
      </c>
      <c r="H95" s="19"/>
      <c r="I95" s="19"/>
      <c r="J95" s="19"/>
      <c r="K95" s="19"/>
      <c r="L95" s="24">
        <f>IF(OR(I95="",J95="",G95=""),0,IF(G95="Local",SUMIFS(Servicios!$F$6:$F$39,Servicios!$D$6:$D$39,I95,Servicios!$E$6:$E$39,J95),SUMIFS(Servicios!$G$6:$G$39,Servicios!$D$6:$D$39,I95,Servicios!$E$6:$E$39,J95)))</f>
        <v>0</v>
      </c>
      <c r="M95" s="25"/>
      <c r="N95" s="24">
        <f t="shared" si="1"/>
        <v>0</v>
      </c>
      <c r="O95" s="25"/>
      <c r="P95" s="25"/>
      <c r="Q95" s="25"/>
      <c r="R95" s="24">
        <f t="shared" si="2"/>
        <v>0</v>
      </c>
      <c r="S95" s="24">
        <f t="shared" si="3"/>
        <v>0</v>
      </c>
      <c r="T95" s="19"/>
      <c r="U95" s="19"/>
      <c r="V95" s="19"/>
      <c r="W95" s="26" t="str">
        <f t="array" ref="W95">IF(H95="","",IFERROR(INDEX(Manicuristas!$D$6:$D$9,MATCH(H95,Manicuristas!$C$6:$C$9,0)),0))</f>
        <v/>
      </c>
      <c r="X95" s="26" t="str">
        <f t="array" ref="X95">IF(H95="","",IFERROR(INDEX(Manicuristas!$E$6:$E$9,MATCH(H95,Manicuristas!$C$6:$C$9,0)),0))</f>
        <v/>
      </c>
      <c r="Y95" s="26" t="str">
        <f t="array" ref="Y95">IF(H95="","",IFERROR(INDEX(Manicuristas!$F$6:$F$9,MATCH(H95,Manicuristas!$C$6:$C$9,0)),0))</f>
        <v/>
      </c>
      <c r="Z95" s="24">
        <f t="shared" si="4"/>
        <v>0</v>
      </c>
      <c r="AA95" s="24">
        <f t="shared" si="5"/>
        <v>0</v>
      </c>
      <c r="AB95" s="24">
        <f t="shared" si="6"/>
        <v>0</v>
      </c>
      <c r="AC95" s="24">
        <f t="shared" si="7"/>
        <v>0</v>
      </c>
      <c r="AD95" s="19"/>
    </row>
    <row r="96" ht="15.75" customHeight="1">
      <c r="B96" s="19"/>
      <c r="C96" s="20"/>
      <c r="D96" s="21"/>
      <c r="E96" s="22"/>
      <c r="F96" s="19"/>
      <c r="G96" s="23" t="str">
        <f t="array" ref="G96">IF(F96="","",IFERROR(INDEX(Clientas!$F$6:$F$55,MATCH(F96,Clientas!$C$6:$C$55,0)),""))</f>
        <v/>
      </c>
      <c r="H96" s="19"/>
      <c r="I96" s="19"/>
      <c r="J96" s="19"/>
      <c r="K96" s="19"/>
      <c r="L96" s="24">
        <f>IF(OR(I96="",J96="",G96=""),0,IF(G96="Local",SUMIFS(Servicios!$F$6:$F$39,Servicios!$D$6:$D$39,I96,Servicios!$E$6:$E$39,J96),SUMIFS(Servicios!$G$6:$G$39,Servicios!$D$6:$D$39,I96,Servicios!$E$6:$E$39,J96)))</f>
        <v>0</v>
      </c>
      <c r="M96" s="25"/>
      <c r="N96" s="24">
        <f t="shared" si="1"/>
        <v>0</v>
      </c>
      <c r="O96" s="25"/>
      <c r="P96" s="25"/>
      <c r="Q96" s="25"/>
      <c r="R96" s="24">
        <f t="shared" si="2"/>
        <v>0</v>
      </c>
      <c r="S96" s="24">
        <f t="shared" si="3"/>
        <v>0</v>
      </c>
      <c r="T96" s="19"/>
      <c r="U96" s="19"/>
      <c r="V96" s="19"/>
      <c r="W96" s="26" t="str">
        <f t="array" ref="W96">IF(H96="","",IFERROR(INDEX(Manicuristas!$D$6:$D$9,MATCH(H96,Manicuristas!$C$6:$C$9,0)),0))</f>
        <v/>
      </c>
      <c r="X96" s="26" t="str">
        <f t="array" ref="X96">IF(H96="","",IFERROR(INDEX(Manicuristas!$E$6:$E$9,MATCH(H96,Manicuristas!$C$6:$C$9,0)),0))</f>
        <v/>
      </c>
      <c r="Y96" s="26" t="str">
        <f t="array" ref="Y96">IF(H96="","",IFERROR(INDEX(Manicuristas!$F$6:$F$9,MATCH(H96,Manicuristas!$C$6:$C$9,0)),0))</f>
        <v/>
      </c>
      <c r="Z96" s="24">
        <f t="shared" si="4"/>
        <v>0</v>
      </c>
      <c r="AA96" s="24">
        <f t="shared" si="5"/>
        <v>0</v>
      </c>
      <c r="AB96" s="24">
        <f t="shared" si="6"/>
        <v>0</v>
      </c>
      <c r="AC96" s="24">
        <f t="shared" si="7"/>
        <v>0</v>
      </c>
      <c r="AD96" s="19"/>
    </row>
    <row r="97" ht="15.75" customHeight="1">
      <c r="B97" s="19"/>
      <c r="C97" s="20"/>
      <c r="D97" s="21"/>
      <c r="E97" s="22"/>
      <c r="F97" s="19"/>
      <c r="G97" s="23" t="str">
        <f t="array" ref="G97">IF(F97="","",IFERROR(INDEX(Clientas!$F$6:$F$55,MATCH(F97,Clientas!$C$6:$C$55,0)),""))</f>
        <v/>
      </c>
      <c r="H97" s="19"/>
      <c r="I97" s="19"/>
      <c r="J97" s="19"/>
      <c r="K97" s="19"/>
      <c r="L97" s="24">
        <f>IF(OR(I97="",J97="",G97=""),0,IF(G97="Local",SUMIFS(Servicios!$F$6:$F$39,Servicios!$D$6:$D$39,I97,Servicios!$E$6:$E$39,J97),SUMIFS(Servicios!$G$6:$G$39,Servicios!$D$6:$D$39,I97,Servicios!$E$6:$E$39,J97)))</f>
        <v>0</v>
      </c>
      <c r="M97" s="25"/>
      <c r="N97" s="24">
        <f t="shared" si="1"/>
        <v>0</v>
      </c>
      <c r="O97" s="25"/>
      <c r="P97" s="25"/>
      <c r="Q97" s="25"/>
      <c r="R97" s="24">
        <f t="shared" si="2"/>
        <v>0</v>
      </c>
      <c r="S97" s="24">
        <f t="shared" si="3"/>
        <v>0</v>
      </c>
      <c r="T97" s="19"/>
      <c r="U97" s="19"/>
      <c r="V97" s="19"/>
      <c r="W97" s="26" t="str">
        <f t="array" ref="W97">IF(H97="","",IFERROR(INDEX(Manicuristas!$D$6:$D$9,MATCH(H97,Manicuristas!$C$6:$C$9,0)),0))</f>
        <v/>
      </c>
      <c r="X97" s="26" t="str">
        <f t="array" ref="X97">IF(H97="","",IFERROR(INDEX(Manicuristas!$E$6:$E$9,MATCH(H97,Manicuristas!$C$6:$C$9,0)),0))</f>
        <v/>
      </c>
      <c r="Y97" s="26" t="str">
        <f t="array" ref="Y97">IF(H97="","",IFERROR(INDEX(Manicuristas!$F$6:$F$9,MATCH(H97,Manicuristas!$C$6:$C$9,0)),0))</f>
        <v/>
      </c>
      <c r="Z97" s="24">
        <f t="shared" si="4"/>
        <v>0</v>
      </c>
      <c r="AA97" s="24">
        <f t="shared" si="5"/>
        <v>0</v>
      </c>
      <c r="AB97" s="24">
        <f t="shared" si="6"/>
        <v>0</v>
      </c>
      <c r="AC97" s="24">
        <f t="shared" si="7"/>
        <v>0</v>
      </c>
      <c r="AD97" s="19"/>
    </row>
    <row r="98" ht="15.75" customHeight="1">
      <c r="B98" s="19"/>
      <c r="C98" s="20"/>
      <c r="D98" s="21"/>
      <c r="E98" s="22"/>
      <c r="F98" s="19"/>
      <c r="G98" s="23" t="str">
        <f t="array" ref="G98">IF(F98="","",IFERROR(INDEX(Clientas!$F$6:$F$55,MATCH(F98,Clientas!$C$6:$C$55,0)),""))</f>
        <v/>
      </c>
      <c r="H98" s="19"/>
      <c r="I98" s="19"/>
      <c r="J98" s="19"/>
      <c r="K98" s="19"/>
      <c r="L98" s="24">
        <f>IF(OR(I98="",J98="",G98=""),0,IF(G98="Local",SUMIFS(Servicios!$F$6:$F$39,Servicios!$D$6:$D$39,I98,Servicios!$E$6:$E$39,J98),SUMIFS(Servicios!$G$6:$G$39,Servicios!$D$6:$D$39,I98,Servicios!$E$6:$E$39,J98)))</f>
        <v>0</v>
      </c>
      <c r="M98" s="25"/>
      <c r="N98" s="24">
        <f t="shared" si="1"/>
        <v>0</v>
      </c>
      <c r="O98" s="25"/>
      <c r="P98" s="25"/>
      <c r="Q98" s="25"/>
      <c r="R98" s="24">
        <f t="shared" si="2"/>
        <v>0</v>
      </c>
      <c r="S98" s="24">
        <f t="shared" si="3"/>
        <v>0</v>
      </c>
      <c r="T98" s="19"/>
      <c r="U98" s="19"/>
      <c r="V98" s="19"/>
      <c r="W98" s="26" t="str">
        <f t="array" ref="W98">IF(H98="","",IFERROR(INDEX(Manicuristas!$D$6:$D$9,MATCH(H98,Manicuristas!$C$6:$C$9,0)),0))</f>
        <v/>
      </c>
      <c r="X98" s="26" t="str">
        <f t="array" ref="X98">IF(H98="","",IFERROR(INDEX(Manicuristas!$E$6:$E$9,MATCH(H98,Manicuristas!$C$6:$C$9,0)),0))</f>
        <v/>
      </c>
      <c r="Y98" s="26" t="str">
        <f t="array" ref="Y98">IF(H98="","",IFERROR(INDEX(Manicuristas!$F$6:$F$9,MATCH(H98,Manicuristas!$C$6:$C$9,0)),0))</f>
        <v/>
      </c>
      <c r="Z98" s="24">
        <f t="shared" si="4"/>
        <v>0</v>
      </c>
      <c r="AA98" s="24">
        <f t="shared" si="5"/>
        <v>0</v>
      </c>
      <c r="AB98" s="24">
        <f t="shared" si="6"/>
        <v>0</v>
      </c>
      <c r="AC98" s="24">
        <f t="shared" si="7"/>
        <v>0</v>
      </c>
      <c r="AD98" s="19"/>
    </row>
    <row r="99" ht="15.75" customHeight="1">
      <c r="B99" s="19"/>
      <c r="C99" s="20"/>
      <c r="D99" s="21"/>
      <c r="E99" s="22"/>
      <c r="F99" s="19"/>
      <c r="G99" s="23" t="str">
        <f t="array" ref="G99">IF(F99="","",IFERROR(INDEX(Clientas!$F$6:$F$55,MATCH(F99,Clientas!$C$6:$C$55,0)),""))</f>
        <v/>
      </c>
      <c r="H99" s="19"/>
      <c r="I99" s="19"/>
      <c r="J99" s="19"/>
      <c r="K99" s="19"/>
      <c r="L99" s="24">
        <f>IF(OR(I99="",J99="",G99=""),0,IF(G99="Local",SUMIFS(Servicios!$F$6:$F$39,Servicios!$D$6:$D$39,I99,Servicios!$E$6:$E$39,J99),SUMIFS(Servicios!$G$6:$G$39,Servicios!$D$6:$D$39,I99,Servicios!$E$6:$E$39,J99)))</f>
        <v>0</v>
      </c>
      <c r="M99" s="25"/>
      <c r="N99" s="24">
        <f t="shared" si="1"/>
        <v>0</v>
      </c>
      <c r="O99" s="25"/>
      <c r="P99" s="25"/>
      <c r="Q99" s="25"/>
      <c r="R99" s="24">
        <f t="shared" si="2"/>
        <v>0</v>
      </c>
      <c r="S99" s="24">
        <f t="shared" si="3"/>
        <v>0</v>
      </c>
      <c r="T99" s="19"/>
      <c r="U99" s="19"/>
      <c r="V99" s="19"/>
      <c r="W99" s="26" t="str">
        <f t="array" ref="W99">IF(H99="","",IFERROR(INDEX(Manicuristas!$D$6:$D$9,MATCH(H99,Manicuristas!$C$6:$C$9,0)),0))</f>
        <v/>
      </c>
      <c r="X99" s="26" t="str">
        <f t="array" ref="X99">IF(H99="","",IFERROR(INDEX(Manicuristas!$E$6:$E$9,MATCH(H99,Manicuristas!$C$6:$C$9,0)),0))</f>
        <v/>
      </c>
      <c r="Y99" s="26" t="str">
        <f t="array" ref="Y99">IF(H99="","",IFERROR(INDEX(Manicuristas!$F$6:$F$9,MATCH(H99,Manicuristas!$C$6:$C$9,0)),0))</f>
        <v/>
      </c>
      <c r="Z99" s="24">
        <f t="shared" si="4"/>
        <v>0</v>
      </c>
      <c r="AA99" s="24">
        <f t="shared" si="5"/>
        <v>0</v>
      </c>
      <c r="AB99" s="24">
        <f t="shared" si="6"/>
        <v>0</v>
      </c>
      <c r="AC99" s="24">
        <f t="shared" si="7"/>
        <v>0</v>
      </c>
      <c r="AD99" s="19"/>
    </row>
    <row r="100" ht="15.75" customHeight="1">
      <c r="B100" s="19"/>
      <c r="C100" s="20"/>
      <c r="D100" s="21"/>
      <c r="E100" s="22"/>
      <c r="F100" s="19"/>
      <c r="G100" s="23" t="str">
        <f t="array" ref="G100">IF(F100="","",IFERROR(INDEX(Clientas!$F$6:$F$55,MATCH(F100,Clientas!$C$6:$C$55,0)),""))</f>
        <v/>
      </c>
      <c r="H100" s="19"/>
      <c r="I100" s="19"/>
      <c r="J100" s="19"/>
      <c r="K100" s="19"/>
      <c r="L100" s="24">
        <f>IF(OR(I100="",J100="",G100=""),0,IF(G100="Local",SUMIFS(Servicios!$F$6:$F$39,Servicios!$D$6:$D$39,I100,Servicios!$E$6:$E$39,J100),SUMIFS(Servicios!$G$6:$G$39,Servicios!$D$6:$D$39,I100,Servicios!$E$6:$E$39,J100)))</f>
        <v>0</v>
      </c>
      <c r="M100" s="25"/>
      <c r="N100" s="24">
        <f t="shared" si="1"/>
        <v>0</v>
      </c>
      <c r="O100" s="25"/>
      <c r="P100" s="25"/>
      <c r="Q100" s="25"/>
      <c r="R100" s="24">
        <f t="shared" si="2"/>
        <v>0</v>
      </c>
      <c r="S100" s="24">
        <f t="shared" si="3"/>
        <v>0</v>
      </c>
      <c r="T100" s="19"/>
      <c r="U100" s="19"/>
      <c r="V100" s="19"/>
      <c r="W100" s="26" t="str">
        <f t="array" ref="W100">IF(H100="","",IFERROR(INDEX(Manicuristas!$D$6:$D$9,MATCH(H100,Manicuristas!$C$6:$C$9,0)),0))</f>
        <v/>
      </c>
      <c r="X100" s="26" t="str">
        <f t="array" ref="X100">IF(H100="","",IFERROR(INDEX(Manicuristas!$E$6:$E$9,MATCH(H100,Manicuristas!$C$6:$C$9,0)),0))</f>
        <v/>
      </c>
      <c r="Y100" s="26" t="str">
        <f t="array" ref="Y100">IF(H100="","",IFERROR(INDEX(Manicuristas!$F$6:$F$9,MATCH(H100,Manicuristas!$C$6:$C$9,0)),0))</f>
        <v/>
      </c>
      <c r="Z100" s="24">
        <f t="shared" si="4"/>
        <v>0</v>
      </c>
      <c r="AA100" s="24">
        <f t="shared" si="5"/>
        <v>0</v>
      </c>
      <c r="AB100" s="24">
        <f t="shared" si="6"/>
        <v>0</v>
      </c>
      <c r="AC100" s="24">
        <f t="shared" si="7"/>
        <v>0</v>
      </c>
      <c r="AD100" s="19"/>
    </row>
    <row r="101" ht="15.75" customHeight="1">
      <c r="B101" s="19"/>
      <c r="C101" s="20"/>
      <c r="D101" s="21"/>
      <c r="E101" s="22"/>
      <c r="F101" s="19"/>
      <c r="G101" s="23" t="str">
        <f t="array" ref="G101">IF(F101="","",IFERROR(INDEX(Clientas!$F$6:$F$55,MATCH(F101,Clientas!$C$6:$C$55,0)),""))</f>
        <v/>
      </c>
      <c r="H101" s="19"/>
      <c r="I101" s="19"/>
      <c r="J101" s="19"/>
      <c r="K101" s="19"/>
      <c r="L101" s="24">
        <f>IF(OR(I101="",J101="",G101=""),0,IF(G101="Local",SUMIFS(Servicios!$F$6:$F$39,Servicios!$D$6:$D$39,I101,Servicios!$E$6:$E$39,J101),SUMIFS(Servicios!$G$6:$G$39,Servicios!$D$6:$D$39,I101,Servicios!$E$6:$E$39,J101)))</f>
        <v>0</v>
      </c>
      <c r="M101" s="25"/>
      <c r="N101" s="24">
        <f t="shared" si="1"/>
        <v>0</v>
      </c>
      <c r="O101" s="25"/>
      <c r="P101" s="25"/>
      <c r="Q101" s="25"/>
      <c r="R101" s="24">
        <f t="shared" si="2"/>
        <v>0</v>
      </c>
      <c r="S101" s="24">
        <f t="shared" si="3"/>
        <v>0</v>
      </c>
      <c r="T101" s="19"/>
      <c r="U101" s="19"/>
      <c r="V101" s="19"/>
      <c r="W101" s="26" t="str">
        <f t="array" ref="W101">IF(H101="","",IFERROR(INDEX(Manicuristas!$D$6:$D$9,MATCH(H101,Manicuristas!$C$6:$C$9,0)),0))</f>
        <v/>
      </c>
      <c r="X101" s="26" t="str">
        <f t="array" ref="X101">IF(H101="","",IFERROR(INDEX(Manicuristas!$E$6:$E$9,MATCH(H101,Manicuristas!$C$6:$C$9,0)),0))</f>
        <v/>
      </c>
      <c r="Y101" s="26" t="str">
        <f t="array" ref="Y101">IF(H101="","",IFERROR(INDEX(Manicuristas!$F$6:$F$9,MATCH(H101,Manicuristas!$C$6:$C$9,0)),0))</f>
        <v/>
      </c>
      <c r="Z101" s="24">
        <f t="shared" si="4"/>
        <v>0</v>
      </c>
      <c r="AA101" s="24">
        <f t="shared" si="5"/>
        <v>0</v>
      </c>
      <c r="AB101" s="24">
        <f t="shared" si="6"/>
        <v>0</v>
      </c>
      <c r="AC101" s="24">
        <f t="shared" si="7"/>
        <v>0</v>
      </c>
      <c r="AD101" s="19"/>
    </row>
    <row r="102" ht="15.75" customHeight="1">
      <c r="B102" s="19"/>
      <c r="C102" s="20"/>
      <c r="D102" s="21"/>
      <c r="E102" s="22"/>
      <c r="F102" s="19"/>
      <c r="G102" s="23" t="str">
        <f t="array" ref="G102">IF(F102="","",IFERROR(INDEX(Clientas!$F$6:$F$55,MATCH(F102,Clientas!$C$6:$C$55,0)),""))</f>
        <v/>
      </c>
      <c r="H102" s="19"/>
      <c r="I102" s="19"/>
      <c r="J102" s="19"/>
      <c r="K102" s="19"/>
      <c r="L102" s="24">
        <f>IF(OR(I102="",J102="",G102=""),0,IF(G102="Local",SUMIFS(Servicios!$F$6:$F$39,Servicios!$D$6:$D$39,I102,Servicios!$E$6:$E$39,J102),SUMIFS(Servicios!$G$6:$G$39,Servicios!$D$6:$D$39,I102,Servicios!$E$6:$E$39,J102)))</f>
        <v>0</v>
      </c>
      <c r="M102" s="25"/>
      <c r="N102" s="24">
        <f t="shared" si="1"/>
        <v>0</v>
      </c>
      <c r="O102" s="25"/>
      <c r="P102" s="25"/>
      <c r="Q102" s="25"/>
      <c r="R102" s="24">
        <f t="shared" si="2"/>
        <v>0</v>
      </c>
      <c r="S102" s="24">
        <f t="shared" si="3"/>
        <v>0</v>
      </c>
      <c r="T102" s="19"/>
      <c r="U102" s="19"/>
      <c r="V102" s="19"/>
      <c r="W102" s="26" t="str">
        <f t="array" ref="W102">IF(H102="","",IFERROR(INDEX(Manicuristas!$D$6:$D$9,MATCH(H102,Manicuristas!$C$6:$C$9,0)),0))</f>
        <v/>
      </c>
      <c r="X102" s="26" t="str">
        <f t="array" ref="X102">IF(H102="","",IFERROR(INDEX(Manicuristas!$E$6:$E$9,MATCH(H102,Manicuristas!$C$6:$C$9,0)),0))</f>
        <v/>
      </c>
      <c r="Y102" s="26" t="str">
        <f t="array" ref="Y102">IF(H102="","",IFERROR(INDEX(Manicuristas!$F$6:$F$9,MATCH(H102,Manicuristas!$C$6:$C$9,0)),0))</f>
        <v/>
      </c>
      <c r="Z102" s="24">
        <f t="shared" si="4"/>
        <v>0</v>
      </c>
      <c r="AA102" s="24">
        <f t="shared" si="5"/>
        <v>0</v>
      </c>
      <c r="AB102" s="24">
        <f t="shared" si="6"/>
        <v>0</v>
      </c>
      <c r="AC102" s="24">
        <f t="shared" si="7"/>
        <v>0</v>
      </c>
      <c r="AD102" s="19"/>
    </row>
    <row r="103" ht="15.75" customHeight="1">
      <c r="B103" s="19"/>
      <c r="C103" s="20"/>
      <c r="D103" s="21"/>
      <c r="E103" s="22"/>
      <c r="F103" s="19"/>
      <c r="G103" s="23" t="str">
        <f t="array" ref="G103">IF(F103="","",IFERROR(INDEX(Clientas!$F$6:$F$55,MATCH(F103,Clientas!$C$6:$C$55,0)),""))</f>
        <v/>
      </c>
      <c r="H103" s="19"/>
      <c r="I103" s="19"/>
      <c r="J103" s="19"/>
      <c r="K103" s="19"/>
      <c r="L103" s="24">
        <f>IF(OR(I103="",J103="",G103=""),0,IF(G103="Local",SUMIFS(Servicios!$F$6:$F$39,Servicios!$D$6:$D$39,I103,Servicios!$E$6:$E$39,J103),SUMIFS(Servicios!$G$6:$G$39,Servicios!$D$6:$D$39,I103,Servicios!$E$6:$E$39,J103)))</f>
        <v>0</v>
      </c>
      <c r="M103" s="25"/>
      <c r="N103" s="24">
        <f t="shared" si="1"/>
        <v>0</v>
      </c>
      <c r="O103" s="25"/>
      <c r="P103" s="25"/>
      <c r="Q103" s="25"/>
      <c r="R103" s="24">
        <f t="shared" si="2"/>
        <v>0</v>
      </c>
      <c r="S103" s="24">
        <f t="shared" si="3"/>
        <v>0</v>
      </c>
      <c r="T103" s="19"/>
      <c r="U103" s="19"/>
      <c r="V103" s="19"/>
      <c r="W103" s="26" t="str">
        <f t="array" ref="W103">IF(H103="","",IFERROR(INDEX(Manicuristas!$D$6:$D$9,MATCH(H103,Manicuristas!$C$6:$C$9,0)),0))</f>
        <v/>
      </c>
      <c r="X103" s="26" t="str">
        <f t="array" ref="X103">IF(H103="","",IFERROR(INDEX(Manicuristas!$E$6:$E$9,MATCH(H103,Manicuristas!$C$6:$C$9,0)),0))</f>
        <v/>
      </c>
      <c r="Y103" s="26" t="str">
        <f t="array" ref="Y103">IF(H103="","",IFERROR(INDEX(Manicuristas!$F$6:$F$9,MATCH(H103,Manicuristas!$C$6:$C$9,0)),0))</f>
        <v/>
      </c>
      <c r="Z103" s="24">
        <f t="shared" si="4"/>
        <v>0</v>
      </c>
      <c r="AA103" s="24">
        <f t="shared" si="5"/>
        <v>0</v>
      </c>
      <c r="AB103" s="24">
        <f t="shared" si="6"/>
        <v>0</v>
      </c>
      <c r="AC103" s="24">
        <f t="shared" si="7"/>
        <v>0</v>
      </c>
      <c r="AD103" s="19"/>
    </row>
    <row r="104" ht="15.75" customHeight="1">
      <c r="B104" s="19"/>
      <c r="C104" s="20"/>
      <c r="D104" s="21"/>
      <c r="E104" s="22"/>
      <c r="F104" s="19"/>
      <c r="G104" s="23" t="str">
        <f t="array" ref="G104">IF(F104="","",IFERROR(INDEX(Clientas!$F$6:$F$55,MATCH(F104,Clientas!$C$6:$C$55,0)),""))</f>
        <v/>
      </c>
      <c r="H104" s="19"/>
      <c r="I104" s="19"/>
      <c r="J104" s="19"/>
      <c r="K104" s="19"/>
      <c r="L104" s="24">
        <f>IF(OR(I104="",J104="",G104=""),0,IF(G104="Local",SUMIFS(Servicios!$F$6:$F$39,Servicios!$D$6:$D$39,I104,Servicios!$E$6:$E$39,J104),SUMIFS(Servicios!$G$6:$G$39,Servicios!$D$6:$D$39,I104,Servicios!$E$6:$E$39,J104)))</f>
        <v>0</v>
      </c>
      <c r="M104" s="25"/>
      <c r="N104" s="24">
        <f t="shared" si="1"/>
        <v>0</v>
      </c>
      <c r="O104" s="25"/>
      <c r="P104" s="25"/>
      <c r="Q104" s="25"/>
      <c r="R104" s="24">
        <f t="shared" si="2"/>
        <v>0</v>
      </c>
      <c r="S104" s="24">
        <f t="shared" si="3"/>
        <v>0</v>
      </c>
      <c r="T104" s="19"/>
      <c r="U104" s="19"/>
      <c r="V104" s="19"/>
      <c r="W104" s="26" t="str">
        <f t="array" ref="W104">IF(H104="","",IFERROR(INDEX(Manicuristas!$D$6:$D$9,MATCH(H104,Manicuristas!$C$6:$C$9,0)),0))</f>
        <v/>
      </c>
      <c r="X104" s="26" t="str">
        <f t="array" ref="X104">IF(H104="","",IFERROR(INDEX(Manicuristas!$E$6:$E$9,MATCH(H104,Manicuristas!$C$6:$C$9,0)),0))</f>
        <v/>
      </c>
      <c r="Y104" s="26" t="str">
        <f t="array" ref="Y104">IF(H104="","",IFERROR(INDEX(Manicuristas!$F$6:$F$9,MATCH(H104,Manicuristas!$C$6:$C$9,0)),0))</f>
        <v/>
      </c>
      <c r="Z104" s="24">
        <f t="shared" si="4"/>
        <v>0</v>
      </c>
      <c r="AA104" s="24">
        <f t="shared" si="5"/>
        <v>0</v>
      </c>
      <c r="AB104" s="24">
        <f t="shared" si="6"/>
        <v>0</v>
      </c>
      <c r="AC104" s="24">
        <f t="shared" si="7"/>
        <v>0</v>
      </c>
      <c r="AD104" s="19"/>
    </row>
    <row r="105" ht="15.75" customHeight="1">
      <c r="B105" s="19"/>
      <c r="C105" s="20"/>
      <c r="D105" s="21"/>
      <c r="E105" s="22"/>
      <c r="F105" s="19"/>
      <c r="G105" s="23" t="str">
        <f t="array" ref="G105">IF(F105="","",IFERROR(INDEX(Clientas!$F$6:$F$55,MATCH(F105,Clientas!$C$6:$C$55,0)),""))</f>
        <v/>
      </c>
      <c r="H105" s="19"/>
      <c r="I105" s="19"/>
      <c r="J105" s="19"/>
      <c r="K105" s="19"/>
      <c r="L105" s="24">
        <f>IF(OR(I105="",J105="",G105=""),0,IF(G105="Local",SUMIFS(Servicios!$F$6:$F$39,Servicios!$D$6:$D$39,I105,Servicios!$E$6:$E$39,J105),SUMIFS(Servicios!$G$6:$G$39,Servicios!$D$6:$D$39,I105,Servicios!$E$6:$E$39,J105)))</f>
        <v>0</v>
      </c>
      <c r="M105" s="25"/>
      <c r="N105" s="24">
        <f t="shared" si="1"/>
        <v>0</v>
      </c>
      <c r="O105" s="25"/>
      <c r="P105" s="25"/>
      <c r="Q105" s="25"/>
      <c r="R105" s="24">
        <f t="shared" si="2"/>
        <v>0</v>
      </c>
      <c r="S105" s="24">
        <f t="shared" si="3"/>
        <v>0</v>
      </c>
      <c r="T105" s="19"/>
      <c r="U105" s="19"/>
      <c r="V105" s="19"/>
      <c r="W105" s="26" t="str">
        <f t="array" ref="W105">IF(H105="","",IFERROR(INDEX(Manicuristas!$D$6:$D$9,MATCH(H105,Manicuristas!$C$6:$C$9,0)),0))</f>
        <v/>
      </c>
      <c r="X105" s="26" t="str">
        <f t="array" ref="X105">IF(H105="","",IFERROR(INDEX(Manicuristas!$E$6:$E$9,MATCH(H105,Manicuristas!$C$6:$C$9,0)),0))</f>
        <v/>
      </c>
      <c r="Y105" s="26" t="str">
        <f t="array" ref="Y105">IF(H105="","",IFERROR(INDEX(Manicuristas!$F$6:$F$9,MATCH(H105,Manicuristas!$C$6:$C$9,0)),0))</f>
        <v/>
      </c>
      <c r="Z105" s="24">
        <f t="shared" si="4"/>
        <v>0</v>
      </c>
      <c r="AA105" s="24">
        <f t="shared" si="5"/>
        <v>0</v>
      </c>
      <c r="AB105" s="24">
        <f t="shared" si="6"/>
        <v>0</v>
      </c>
      <c r="AC105" s="24">
        <f t="shared" si="7"/>
        <v>0</v>
      </c>
      <c r="AD105" s="19"/>
    </row>
    <row r="106" ht="15.75" customHeight="1">
      <c r="B106" s="19"/>
      <c r="C106" s="20"/>
      <c r="D106" s="21"/>
      <c r="E106" s="22"/>
      <c r="F106" s="19"/>
      <c r="G106" s="23" t="str">
        <f t="array" ref="G106">IF(F106="","",IFERROR(INDEX(Clientas!$F$6:$F$55,MATCH(F106,Clientas!$C$6:$C$55,0)),""))</f>
        <v/>
      </c>
      <c r="H106" s="19"/>
      <c r="I106" s="19"/>
      <c r="J106" s="19"/>
      <c r="K106" s="19"/>
      <c r="L106" s="24">
        <f>IF(OR(I106="",J106="",G106=""),0,IF(G106="Local",SUMIFS(Servicios!$F$6:$F$39,Servicios!$D$6:$D$39,I106,Servicios!$E$6:$E$39,J106),SUMIFS(Servicios!$G$6:$G$39,Servicios!$D$6:$D$39,I106,Servicios!$E$6:$E$39,J106)))</f>
        <v>0</v>
      </c>
      <c r="M106" s="25"/>
      <c r="N106" s="24">
        <f t="shared" si="1"/>
        <v>0</v>
      </c>
      <c r="O106" s="25"/>
      <c r="P106" s="25"/>
      <c r="Q106" s="25"/>
      <c r="R106" s="24">
        <f t="shared" si="2"/>
        <v>0</v>
      </c>
      <c r="S106" s="24">
        <f t="shared" si="3"/>
        <v>0</v>
      </c>
      <c r="T106" s="19"/>
      <c r="U106" s="19"/>
      <c r="V106" s="19"/>
      <c r="W106" s="26" t="str">
        <f t="array" ref="W106">IF(H106="","",IFERROR(INDEX(Manicuristas!$D$6:$D$9,MATCH(H106,Manicuristas!$C$6:$C$9,0)),0))</f>
        <v/>
      </c>
      <c r="X106" s="26" t="str">
        <f t="array" ref="X106">IF(H106="","",IFERROR(INDEX(Manicuristas!$E$6:$E$9,MATCH(H106,Manicuristas!$C$6:$C$9,0)),0))</f>
        <v/>
      </c>
      <c r="Y106" s="26" t="str">
        <f t="array" ref="Y106">IF(H106="","",IFERROR(INDEX(Manicuristas!$F$6:$F$9,MATCH(H106,Manicuristas!$C$6:$C$9,0)),0))</f>
        <v/>
      </c>
      <c r="Z106" s="24">
        <f t="shared" si="4"/>
        <v>0</v>
      </c>
      <c r="AA106" s="24">
        <f t="shared" si="5"/>
        <v>0</v>
      </c>
      <c r="AB106" s="24">
        <f t="shared" si="6"/>
        <v>0</v>
      </c>
      <c r="AC106" s="24">
        <f t="shared" si="7"/>
        <v>0</v>
      </c>
      <c r="AD106" s="19"/>
    </row>
    <row r="107" ht="15.75" customHeight="1">
      <c r="B107" s="19"/>
      <c r="C107" s="20"/>
      <c r="D107" s="21"/>
      <c r="E107" s="22"/>
      <c r="F107" s="19"/>
      <c r="G107" s="23" t="str">
        <f t="array" ref="G107">IF(F107="","",IFERROR(INDEX(Clientas!$F$6:$F$55,MATCH(F107,Clientas!$C$6:$C$55,0)),""))</f>
        <v/>
      </c>
      <c r="H107" s="19"/>
      <c r="I107" s="19"/>
      <c r="J107" s="19"/>
      <c r="K107" s="19"/>
      <c r="L107" s="24">
        <f>IF(OR(I107="",J107="",G107=""),0,IF(G107="Local",SUMIFS(Servicios!$F$6:$F$39,Servicios!$D$6:$D$39,I107,Servicios!$E$6:$E$39,J107),SUMIFS(Servicios!$G$6:$G$39,Servicios!$D$6:$D$39,I107,Servicios!$E$6:$E$39,J107)))</f>
        <v>0</v>
      </c>
      <c r="M107" s="25"/>
      <c r="N107" s="24">
        <f t="shared" si="1"/>
        <v>0</v>
      </c>
      <c r="O107" s="25"/>
      <c r="P107" s="25"/>
      <c r="Q107" s="25"/>
      <c r="R107" s="24">
        <f t="shared" si="2"/>
        <v>0</v>
      </c>
      <c r="S107" s="24">
        <f t="shared" si="3"/>
        <v>0</v>
      </c>
      <c r="T107" s="19"/>
      <c r="U107" s="19"/>
      <c r="V107" s="19"/>
      <c r="W107" s="26" t="str">
        <f t="array" ref="W107">IF(H107="","",IFERROR(INDEX(Manicuristas!$D$6:$D$9,MATCH(H107,Manicuristas!$C$6:$C$9,0)),0))</f>
        <v/>
      </c>
      <c r="X107" s="26" t="str">
        <f t="array" ref="X107">IF(H107="","",IFERROR(INDEX(Manicuristas!$E$6:$E$9,MATCH(H107,Manicuristas!$C$6:$C$9,0)),0))</f>
        <v/>
      </c>
      <c r="Y107" s="26" t="str">
        <f t="array" ref="Y107">IF(H107="","",IFERROR(INDEX(Manicuristas!$F$6:$F$9,MATCH(H107,Manicuristas!$C$6:$C$9,0)),0))</f>
        <v/>
      </c>
      <c r="Z107" s="24">
        <f t="shared" si="4"/>
        <v>0</v>
      </c>
      <c r="AA107" s="24">
        <f t="shared" si="5"/>
        <v>0</v>
      </c>
      <c r="AB107" s="24">
        <f t="shared" si="6"/>
        <v>0</v>
      </c>
      <c r="AC107" s="24">
        <f t="shared" si="7"/>
        <v>0</v>
      </c>
      <c r="AD107" s="19"/>
    </row>
    <row r="108" ht="15.75" customHeight="1">
      <c r="B108" s="19"/>
      <c r="C108" s="20"/>
      <c r="D108" s="21"/>
      <c r="E108" s="22"/>
      <c r="F108" s="19"/>
      <c r="G108" s="23" t="str">
        <f t="array" ref="G108">IF(F108="","",IFERROR(INDEX(Clientas!$F$6:$F$55,MATCH(F108,Clientas!$C$6:$C$55,0)),""))</f>
        <v/>
      </c>
      <c r="H108" s="19"/>
      <c r="I108" s="19"/>
      <c r="J108" s="19"/>
      <c r="K108" s="19"/>
      <c r="L108" s="24">
        <f>IF(OR(I108="",J108="",G108=""),0,IF(G108="Local",SUMIFS(Servicios!$F$6:$F$39,Servicios!$D$6:$D$39,I108,Servicios!$E$6:$E$39,J108),SUMIFS(Servicios!$G$6:$G$39,Servicios!$D$6:$D$39,I108,Servicios!$E$6:$E$39,J108)))</f>
        <v>0</v>
      </c>
      <c r="M108" s="25"/>
      <c r="N108" s="24">
        <f t="shared" si="1"/>
        <v>0</v>
      </c>
      <c r="O108" s="25"/>
      <c r="P108" s="25"/>
      <c r="Q108" s="25"/>
      <c r="R108" s="24">
        <f t="shared" si="2"/>
        <v>0</v>
      </c>
      <c r="S108" s="24">
        <f t="shared" si="3"/>
        <v>0</v>
      </c>
      <c r="T108" s="19"/>
      <c r="U108" s="19"/>
      <c r="V108" s="19"/>
      <c r="W108" s="26" t="str">
        <f t="array" ref="W108">IF(H108="","",IFERROR(INDEX(Manicuristas!$D$6:$D$9,MATCH(H108,Manicuristas!$C$6:$C$9,0)),0))</f>
        <v/>
      </c>
      <c r="X108" s="26" t="str">
        <f t="array" ref="X108">IF(H108="","",IFERROR(INDEX(Manicuristas!$E$6:$E$9,MATCH(H108,Manicuristas!$C$6:$C$9,0)),0))</f>
        <v/>
      </c>
      <c r="Y108" s="26" t="str">
        <f t="array" ref="Y108">IF(H108="","",IFERROR(INDEX(Manicuristas!$F$6:$F$9,MATCH(H108,Manicuristas!$C$6:$C$9,0)),0))</f>
        <v/>
      </c>
      <c r="Z108" s="24">
        <f t="shared" si="4"/>
        <v>0</v>
      </c>
      <c r="AA108" s="24">
        <f t="shared" si="5"/>
        <v>0</v>
      </c>
      <c r="AB108" s="24">
        <f t="shared" si="6"/>
        <v>0</v>
      </c>
      <c r="AC108" s="24">
        <f t="shared" si="7"/>
        <v>0</v>
      </c>
      <c r="AD108" s="19"/>
    </row>
    <row r="109" ht="15.75" customHeight="1">
      <c r="B109" s="19"/>
      <c r="C109" s="20"/>
      <c r="D109" s="21"/>
      <c r="E109" s="22"/>
      <c r="F109" s="19"/>
      <c r="G109" s="23" t="str">
        <f t="array" ref="G109">IF(F109="","",IFERROR(INDEX(Clientas!$F$6:$F$55,MATCH(F109,Clientas!$C$6:$C$55,0)),""))</f>
        <v/>
      </c>
      <c r="H109" s="19"/>
      <c r="I109" s="19"/>
      <c r="J109" s="19"/>
      <c r="K109" s="19"/>
      <c r="L109" s="24">
        <f>IF(OR(I109="",J109="",G109=""),0,IF(G109="Local",SUMIFS(Servicios!$F$6:$F$39,Servicios!$D$6:$D$39,I109,Servicios!$E$6:$E$39,J109),SUMIFS(Servicios!$G$6:$G$39,Servicios!$D$6:$D$39,I109,Servicios!$E$6:$E$39,J109)))</f>
        <v>0</v>
      </c>
      <c r="M109" s="25"/>
      <c r="N109" s="24">
        <f t="shared" si="1"/>
        <v>0</v>
      </c>
      <c r="O109" s="25"/>
      <c r="P109" s="25"/>
      <c r="Q109" s="25"/>
      <c r="R109" s="24">
        <f t="shared" si="2"/>
        <v>0</v>
      </c>
      <c r="S109" s="24">
        <f t="shared" si="3"/>
        <v>0</v>
      </c>
      <c r="T109" s="19"/>
      <c r="U109" s="19"/>
      <c r="V109" s="19"/>
      <c r="W109" s="26" t="str">
        <f t="array" ref="W109">IF(H109="","",IFERROR(INDEX(Manicuristas!$D$6:$D$9,MATCH(H109,Manicuristas!$C$6:$C$9,0)),0))</f>
        <v/>
      </c>
      <c r="X109" s="26" t="str">
        <f t="array" ref="X109">IF(H109="","",IFERROR(INDEX(Manicuristas!$E$6:$E$9,MATCH(H109,Manicuristas!$C$6:$C$9,0)),0))</f>
        <v/>
      </c>
      <c r="Y109" s="26" t="str">
        <f t="array" ref="Y109">IF(H109="","",IFERROR(INDEX(Manicuristas!$F$6:$F$9,MATCH(H109,Manicuristas!$C$6:$C$9,0)),0))</f>
        <v/>
      </c>
      <c r="Z109" s="24">
        <f t="shared" si="4"/>
        <v>0</v>
      </c>
      <c r="AA109" s="24">
        <f t="shared" si="5"/>
        <v>0</v>
      </c>
      <c r="AB109" s="24">
        <f t="shared" si="6"/>
        <v>0</v>
      </c>
      <c r="AC109" s="24">
        <f t="shared" si="7"/>
        <v>0</v>
      </c>
      <c r="AD109" s="19"/>
    </row>
    <row r="110" ht="15.75" customHeight="1">
      <c r="B110" s="19"/>
      <c r="C110" s="20"/>
      <c r="D110" s="21"/>
      <c r="E110" s="22"/>
      <c r="F110" s="19"/>
      <c r="G110" s="23" t="str">
        <f t="array" ref="G110">IF(F110="","",IFERROR(INDEX(Clientas!$F$6:$F$55,MATCH(F110,Clientas!$C$6:$C$55,0)),""))</f>
        <v/>
      </c>
      <c r="H110" s="19"/>
      <c r="I110" s="19"/>
      <c r="J110" s="19"/>
      <c r="K110" s="19"/>
      <c r="L110" s="24">
        <f>IF(OR(I110="",J110="",G110=""),0,IF(G110="Local",SUMIFS(Servicios!$F$6:$F$39,Servicios!$D$6:$D$39,I110,Servicios!$E$6:$E$39,J110),SUMIFS(Servicios!$G$6:$G$39,Servicios!$D$6:$D$39,I110,Servicios!$E$6:$E$39,J110)))</f>
        <v>0</v>
      </c>
      <c r="M110" s="25"/>
      <c r="N110" s="24">
        <f t="shared" si="1"/>
        <v>0</v>
      </c>
      <c r="O110" s="25"/>
      <c r="P110" s="25"/>
      <c r="Q110" s="25"/>
      <c r="R110" s="24">
        <f t="shared" si="2"/>
        <v>0</v>
      </c>
      <c r="S110" s="24">
        <f t="shared" si="3"/>
        <v>0</v>
      </c>
      <c r="T110" s="19"/>
      <c r="U110" s="19"/>
      <c r="V110" s="19"/>
      <c r="W110" s="26" t="str">
        <f t="array" ref="W110">IF(H110="","",IFERROR(INDEX(Manicuristas!$D$6:$D$9,MATCH(H110,Manicuristas!$C$6:$C$9,0)),0))</f>
        <v/>
      </c>
      <c r="X110" s="26" t="str">
        <f t="array" ref="X110">IF(H110="","",IFERROR(INDEX(Manicuristas!$E$6:$E$9,MATCH(H110,Manicuristas!$C$6:$C$9,0)),0))</f>
        <v/>
      </c>
      <c r="Y110" s="26" t="str">
        <f t="array" ref="Y110">IF(H110="","",IFERROR(INDEX(Manicuristas!$F$6:$F$9,MATCH(H110,Manicuristas!$C$6:$C$9,0)),0))</f>
        <v/>
      </c>
      <c r="Z110" s="24">
        <f t="shared" si="4"/>
        <v>0</v>
      </c>
      <c r="AA110" s="24">
        <f t="shared" si="5"/>
        <v>0</v>
      </c>
      <c r="AB110" s="24">
        <f t="shared" si="6"/>
        <v>0</v>
      </c>
      <c r="AC110" s="24">
        <f t="shared" si="7"/>
        <v>0</v>
      </c>
      <c r="AD110" s="19"/>
    </row>
    <row r="111" ht="15.75" customHeight="1">
      <c r="B111" s="19"/>
      <c r="C111" s="20"/>
      <c r="D111" s="21"/>
      <c r="E111" s="22"/>
      <c r="F111" s="19"/>
      <c r="G111" s="23" t="str">
        <f t="array" ref="G111">IF(F111="","",IFERROR(INDEX(Clientas!$F$6:$F$55,MATCH(F111,Clientas!$C$6:$C$55,0)),""))</f>
        <v/>
      </c>
      <c r="H111" s="19"/>
      <c r="I111" s="19"/>
      <c r="J111" s="19"/>
      <c r="K111" s="19"/>
      <c r="L111" s="24">
        <f>IF(OR(I111="",J111="",G111=""),0,IF(G111="Local",SUMIFS(Servicios!$F$6:$F$39,Servicios!$D$6:$D$39,I111,Servicios!$E$6:$E$39,J111),SUMIFS(Servicios!$G$6:$G$39,Servicios!$D$6:$D$39,I111,Servicios!$E$6:$E$39,J111)))</f>
        <v>0</v>
      </c>
      <c r="M111" s="25"/>
      <c r="N111" s="24">
        <f t="shared" si="1"/>
        <v>0</v>
      </c>
      <c r="O111" s="25"/>
      <c r="P111" s="25"/>
      <c r="Q111" s="25"/>
      <c r="R111" s="24">
        <f t="shared" si="2"/>
        <v>0</v>
      </c>
      <c r="S111" s="24">
        <f t="shared" si="3"/>
        <v>0</v>
      </c>
      <c r="T111" s="19"/>
      <c r="U111" s="19"/>
      <c r="V111" s="19"/>
      <c r="W111" s="26" t="str">
        <f t="array" ref="W111">IF(H111="","",IFERROR(INDEX(Manicuristas!$D$6:$D$9,MATCH(H111,Manicuristas!$C$6:$C$9,0)),0))</f>
        <v/>
      </c>
      <c r="X111" s="26" t="str">
        <f t="array" ref="X111">IF(H111="","",IFERROR(INDEX(Manicuristas!$E$6:$E$9,MATCH(H111,Manicuristas!$C$6:$C$9,0)),0))</f>
        <v/>
      </c>
      <c r="Y111" s="26" t="str">
        <f t="array" ref="Y111">IF(H111="","",IFERROR(INDEX(Manicuristas!$F$6:$F$9,MATCH(H111,Manicuristas!$C$6:$C$9,0)),0))</f>
        <v/>
      </c>
      <c r="Z111" s="24">
        <f t="shared" si="4"/>
        <v>0</v>
      </c>
      <c r="AA111" s="24">
        <f t="shared" si="5"/>
        <v>0</v>
      </c>
      <c r="AB111" s="24">
        <f t="shared" si="6"/>
        <v>0</v>
      </c>
      <c r="AC111" s="24">
        <f t="shared" si="7"/>
        <v>0</v>
      </c>
      <c r="AD111" s="19"/>
    </row>
    <row r="112" ht="15.75" customHeight="1">
      <c r="B112" s="19"/>
      <c r="C112" s="20"/>
      <c r="D112" s="21"/>
      <c r="E112" s="22"/>
      <c r="F112" s="19"/>
      <c r="G112" s="23" t="str">
        <f t="array" ref="G112">IF(F112="","",IFERROR(INDEX(Clientas!$F$6:$F$55,MATCH(F112,Clientas!$C$6:$C$55,0)),""))</f>
        <v/>
      </c>
      <c r="H112" s="19"/>
      <c r="I112" s="19"/>
      <c r="J112" s="19"/>
      <c r="K112" s="19"/>
      <c r="L112" s="24">
        <f>IF(OR(I112="",J112="",G112=""),0,IF(G112="Local",SUMIFS(Servicios!$F$6:$F$39,Servicios!$D$6:$D$39,I112,Servicios!$E$6:$E$39,J112),SUMIFS(Servicios!$G$6:$G$39,Servicios!$D$6:$D$39,I112,Servicios!$E$6:$E$39,J112)))</f>
        <v>0</v>
      </c>
      <c r="M112" s="25"/>
      <c r="N112" s="24">
        <f t="shared" si="1"/>
        <v>0</v>
      </c>
      <c r="O112" s="25"/>
      <c r="P112" s="25"/>
      <c r="Q112" s="25"/>
      <c r="R112" s="24">
        <f t="shared" si="2"/>
        <v>0</v>
      </c>
      <c r="S112" s="24">
        <f t="shared" si="3"/>
        <v>0</v>
      </c>
      <c r="T112" s="19"/>
      <c r="U112" s="19"/>
      <c r="V112" s="19"/>
      <c r="W112" s="26" t="str">
        <f t="array" ref="W112">IF(H112="","",IFERROR(INDEX(Manicuristas!$D$6:$D$9,MATCH(H112,Manicuristas!$C$6:$C$9,0)),0))</f>
        <v/>
      </c>
      <c r="X112" s="26" t="str">
        <f t="array" ref="X112">IF(H112="","",IFERROR(INDEX(Manicuristas!$E$6:$E$9,MATCH(H112,Manicuristas!$C$6:$C$9,0)),0))</f>
        <v/>
      </c>
      <c r="Y112" s="26" t="str">
        <f t="array" ref="Y112">IF(H112="","",IFERROR(INDEX(Manicuristas!$F$6:$F$9,MATCH(H112,Manicuristas!$C$6:$C$9,0)),0))</f>
        <v/>
      </c>
      <c r="Z112" s="24">
        <f t="shared" si="4"/>
        <v>0</v>
      </c>
      <c r="AA112" s="24">
        <f t="shared" si="5"/>
        <v>0</v>
      </c>
      <c r="AB112" s="24">
        <f t="shared" si="6"/>
        <v>0</v>
      </c>
      <c r="AC112" s="24">
        <f t="shared" si="7"/>
        <v>0</v>
      </c>
      <c r="AD112" s="19"/>
    </row>
    <row r="113" ht="15.75" customHeight="1">
      <c r="B113" s="19"/>
      <c r="C113" s="20"/>
      <c r="D113" s="21"/>
      <c r="E113" s="22"/>
      <c r="F113" s="19"/>
      <c r="G113" s="23" t="str">
        <f t="array" ref="G113">IF(F113="","",IFERROR(INDEX(Clientas!$F$6:$F$55,MATCH(F113,Clientas!$C$6:$C$55,0)),""))</f>
        <v/>
      </c>
      <c r="H113" s="19"/>
      <c r="I113" s="19"/>
      <c r="J113" s="19"/>
      <c r="K113" s="19"/>
      <c r="L113" s="24">
        <f>IF(OR(I113="",J113="",G113=""),0,IF(G113="Local",SUMIFS(Servicios!$F$6:$F$39,Servicios!$D$6:$D$39,I113,Servicios!$E$6:$E$39,J113),SUMIFS(Servicios!$G$6:$G$39,Servicios!$D$6:$D$39,I113,Servicios!$E$6:$E$39,J113)))</f>
        <v>0</v>
      </c>
      <c r="M113" s="25"/>
      <c r="N113" s="24">
        <f t="shared" si="1"/>
        <v>0</v>
      </c>
      <c r="O113" s="25"/>
      <c r="P113" s="25"/>
      <c r="Q113" s="25"/>
      <c r="R113" s="24">
        <f t="shared" si="2"/>
        <v>0</v>
      </c>
      <c r="S113" s="24">
        <f t="shared" si="3"/>
        <v>0</v>
      </c>
      <c r="T113" s="19"/>
      <c r="U113" s="19"/>
      <c r="V113" s="19"/>
      <c r="W113" s="26" t="str">
        <f t="array" ref="W113">IF(H113="","",IFERROR(INDEX(Manicuristas!$D$6:$D$9,MATCH(H113,Manicuristas!$C$6:$C$9,0)),0))</f>
        <v/>
      </c>
      <c r="X113" s="26" t="str">
        <f t="array" ref="X113">IF(H113="","",IFERROR(INDEX(Manicuristas!$E$6:$E$9,MATCH(H113,Manicuristas!$C$6:$C$9,0)),0))</f>
        <v/>
      </c>
      <c r="Y113" s="26" t="str">
        <f t="array" ref="Y113">IF(H113="","",IFERROR(INDEX(Manicuristas!$F$6:$F$9,MATCH(H113,Manicuristas!$C$6:$C$9,0)),0))</f>
        <v/>
      </c>
      <c r="Z113" s="24">
        <f t="shared" si="4"/>
        <v>0</v>
      </c>
      <c r="AA113" s="24">
        <f t="shared" si="5"/>
        <v>0</v>
      </c>
      <c r="AB113" s="24">
        <f t="shared" si="6"/>
        <v>0</v>
      </c>
      <c r="AC113" s="24">
        <f t="shared" si="7"/>
        <v>0</v>
      </c>
      <c r="AD113" s="19"/>
    </row>
    <row r="114" ht="15.75" customHeight="1">
      <c r="B114" s="19"/>
      <c r="C114" s="20"/>
      <c r="D114" s="21"/>
      <c r="E114" s="22"/>
      <c r="F114" s="19"/>
      <c r="G114" s="23" t="str">
        <f t="array" ref="G114">IF(F114="","",IFERROR(INDEX(Clientas!$F$6:$F$55,MATCH(F114,Clientas!$C$6:$C$55,0)),""))</f>
        <v/>
      </c>
      <c r="H114" s="19"/>
      <c r="I114" s="19"/>
      <c r="J114" s="19"/>
      <c r="K114" s="19"/>
      <c r="L114" s="24">
        <f>IF(OR(I114="",J114="",G114=""),0,IF(G114="Local",SUMIFS(Servicios!$F$6:$F$39,Servicios!$D$6:$D$39,I114,Servicios!$E$6:$E$39,J114),SUMIFS(Servicios!$G$6:$G$39,Servicios!$D$6:$D$39,I114,Servicios!$E$6:$E$39,J114)))</f>
        <v>0</v>
      </c>
      <c r="M114" s="25"/>
      <c r="N114" s="24">
        <f t="shared" si="1"/>
        <v>0</v>
      </c>
      <c r="O114" s="25"/>
      <c r="P114" s="25"/>
      <c r="Q114" s="25"/>
      <c r="R114" s="24">
        <f t="shared" si="2"/>
        <v>0</v>
      </c>
      <c r="S114" s="24">
        <f t="shared" si="3"/>
        <v>0</v>
      </c>
      <c r="T114" s="19"/>
      <c r="U114" s="19"/>
      <c r="V114" s="19"/>
      <c r="W114" s="26" t="str">
        <f t="array" ref="W114">IF(H114="","",IFERROR(INDEX(Manicuristas!$D$6:$D$9,MATCH(H114,Manicuristas!$C$6:$C$9,0)),0))</f>
        <v/>
      </c>
      <c r="X114" s="26" t="str">
        <f t="array" ref="X114">IF(H114="","",IFERROR(INDEX(Manicuristas!$E$6:$E$9,MATCH(H114,Manicuristas!$C$6:$C$9,0)),0))</f>
        <v/>
      </c>
      <c r="Y114" s="26" t="str">
        <f t="array" ref="Y114">IF(H114="","",IFERROR(INDEX(Manicuristas!$F$6:$F$9,MATCH(H114,Manicuristas!$C$6:$C$9,0)),0))</f>
        <v/>
      </c>
      <c r="Z114" s="24">
        <f t="shared" si="4"/>
        <v>0</v>
      </c>
      <c r="AA114" s="24">
        <f t="shared" si="5"/>
        <v>0</v>
      </c>
      <c r="AB114" s="24">
        <f t="shared" si="6"/>
        <v>0</v>
      </c>
      <c r="AC114" s="24">
        <f t="shared" si="7"/>
        <v>0</v>
      </c>
      <c r="AD114" s="19"/>
    </row>
    <row r="115" ht="15.75" customHeight="1">
      <c r="B115" s="19"/>
      <c r="C115" s="20"/>
      <c r="D115" s="21"/>
      <c r="E115" s="22"/>
      <c r="F115" s="19"/>
      <c r="G115" s="23" t="str">
        <f t="array" ref="G115">IF(F115="","",IFERROR(INDEX(Clientas!$F$6:$F$55,MATCH(F115,Clientas!$C$6:$C$55,0)),""))</f>
        <v/>
      </c>
      <c r="H115" s="19"/>
      <c r="I115" s="19"/>
      <c r="J115" s="19"/>
      <c r="K115" s="19"/>
      <c r="L115" s="24">
        <f>IF(OR(I115="",J115="",G115=""),0,IF(G115="Local",SUMIFS(Servicios!$F$6:$F$39,Servicios!$D$6:$D$39,I115,Servicios!$E$6:$E$39,J115),SUMIFS(Servicios!$G$6:$G$39,Servicios!$D$6:$D$39,I115,Servicios!$E$6:$E$39,J115)))</f>
        <v>0</v>
      </c>
      <c r="M115" s="25"/>
      <c r="N115" s="24">
        <f t="shared" si="1"/>
        <v>0</v>
      </c>
      <c r="O115" s="25"/>
      <c r="P115" s="25"/>
      <c r="Q115" s="25"/>
      <c r="R115" s="24">
        <f t="shared" si="2"/>
        <v>0</v>
      </c>
      <c r="S115" s="24">
        <f t="shared" si="3"/>
        <v>0</v>
      </c>
      <c r="T115" s="19"/>
      <c r="U115" s="19"/>
      <c r="V115" s="19"/>
      <c r="W115" s="26" t="str">
        <f t="array" ref="W115">IF(H115="","",IFERROR(INDEX(Manicuristas!$D$6:$D$9,MATCH(H115,Manicuristas!$C$6:$C$9,0)),0))</f>
        <v/>
      </c>
      <c r="X115" s="26" t="str">
        <f t="array" ref="X115">IF(H115="","",IFERROR(INDEX(Manicuristas!$E$6:$E$9,MATCH(H115,Manicuristas!$C$6:$C$9,0)),0))</f>
        <v/>
      </c>
      <c r="Y115" s="26" t="str">
        <f t="array" ref="Y115">IF(H115="","",IFERROR(INDEX(Manicuristas!$F$6:$F$9,MATCH(H115,Manicuristas!$C$6:$C$9,0)),0))</f>
        <v/>
      </c>
      <c r="Z115" s="24">
        <f t="shared" si="4"/>
        <v>0</v>
      </c>
      <c r="AA115" s="24">
        <f t="shared" si="5"/>
        <v>0</v>
      </c>
      <c r="AB115" s="24">
        <f t="shared" si="6"/>
        <v>0</v>
      </c>
      <c r="AC115" s="24">
        <f t="shared" si="7"/>
        <v>0</v>
      </c>
      <c r="AD115" s="19"/>
    </row>
    <row r="116" ht="15.75" customHeight="1">
      <c r="B116" s="19"/>
      <c r="C116" s="20"/>
      <c r="D116" s="21"/>
      <c r="E116" s="22"/>
      <c r="F116" s="19"/>
      <c r="G116" s="23" t="str">
        <f t="array" ref="G116">IF(F116="","",IFERROR(INDEX(Clientas!$F$6:$F$55,MATCH(F116,Clientas!$C$6:$C$55,0)),""))</f>
        <v/>
      </c>
      <c r="H116" s="19"/>
      <c r="I116" s="19"/>
      <c r="J116" s="19"/>
      <c r="K116" s="19"/>
      <c r="L116" s="24">
        <f>IF(OR(I116="",J116="",G116=""),0,IF(G116="Local",SUMIFS(Servicios!$F$6:$F$39,Servicios!$D$6:$D$39,I116,Servicios!$E$6:$E$39,J116),SUMIFS(Servicios!$G$6:$G$39,Servicios!$D$6:$D$39,I116,Servicios!$E$6:$E$39,J116)))</f>
        <v>0</v>
      </c>
      <c r="M116" s="25"/>
      <c r="N116" s="24">
        <f t="shared" si="1"/>
        <v>0</v>
      </c>
      <c r="O116" s="25"/>
      <c r="P116" s="25"/>
      <c r="Q116" s="25"/>
      <c r="R116" s="24">
        <f t="shared" si="2"/>
        <v>0</v>
      </c>
      <c r="S116" s="24">
        <f t="shared" si="3"/>
        <v>0</v>
      </c>
      <c r="T116" s="19"/>
      <c r="U116" s="19"/>
      <c r="V116" s="19"/>
      <c r="W116" s="26" t="str">
        <f t="array" ref="W116">IF(H116="","",IFERROR(INDEX(Manicuristas!$D$6:$D$9,MATCH(H116,Manicuristas!$C$6:$C$9,0)),0))</f>
        <v/>
      </c>
      <c r="X116" s="26" t="str">
        <f t="array" ref="X116">IF(H116="","",IFERROR(INDEX(Manicuristas!$E$6:$E$9,MATCH(H116,Manicuristas!$C$6:$C$9,0)),0))</f>
        <v/>
      </c>
      <c r="Y116" s="26" t="str">
        <f t="array" ref="Y116">IF(H116="","",IFERROR(INDEX(Manicuristas!$F$6:$F$9,MATCH(H116,Manicuristas!$C$6:$C$9,0)),0))</f>
        <v/>
      </c>
      <c r="Z116" s="24">
        <f t="shared" si="4"/>
        <v>0</v>
      </c>
      <c r="AA116" s="24">
        <f t="shared" si="5"/>
        <v>0</v>
      </c>
      <c r="AB116" s="24">
        <f t="shared" si="6"/>
        <v>0</v>
      </c>
      <c r="AC116" s="24">
        <f t="shared" si="7"/>
        <v>0</v>
      </c>
      <c r="AD116" s="19"/>
    </row>
    <row r="117" ht="15.75" customHeight="1">
      <c r="B117" s="19"/>
      <c r="C117" s="20"/>
      <c r="D117" s="21"/>
      <c r="E117" s="22"/>
      <c r="F117" s="19"/>
      <c r="G117" s="23" t="str">
        <f t="array" ref="G117">IF(F117="","",IFERROR(INDEX(Clientas!$F$6:$F$55,MATCH(F117,Clientas!$C$6:$C$55,0)),""))</f>
        <v/>
      </c>
      <c r="H117" s="19"/>
      <c r="I117" s="19"/>
      <c r="J117" s="19"/>
      <c r="K117" s="19"/>
      <c r="L117" s="24">
        <f>IF(OR(I117="",J117="",G117=""),0,IF(G117="Local",SUMIFS(Servicios!$F$6:$F$39,Servicios!$D$6:$D$39,I117,Servicios!$E$6:$E$39,J117),SUMIFS(Servicios!$G$6:$G$39,Servicios!$D$6:$D$39,I117,Servicios!$E$6:$E$39,J117)))</f>
        <v>0</v>
      </c>
      <c r="M117" s="25"/>
      <c r="N117" s="24">
        <f t="shared" si="1"/>
        <v>0</v>
      </c>
      <c r="O117" s="25"/>
      <c r="P117" s="25"/>
      <c r="Q117" s="25"/>
      <c r="R117" s="24">
        <f t="shared" si="2"/>
        <v>0</v>
      </c>
      <c r="S117" s="24">
        <f t="shared" si="3"/>
        <v>0</v>
      </c>
      <c r="T117" s="19"/>
      <c r="U117" s="19"/>
      <c r="V117" s="19"/>
      <c r="W117" s="26" t="str">
        <f t="array" ref="W117">IF(H117="","",IFERROR(INDEX(Manicuristas!$D$6:$D$9,MATCH(H117,Manicuristas!$C$6:$C$9,0)),0))</f>
        <v/>
      </c>
      <c r="X117" s="26" t="str">
        <f t="array" ref="X117">IF(H117="","",IFERROR(INDEX(Manicuristas!$E$6:$E$9,MATCH(H117,Manicuristas!$C$6:$C$9,0)),0))</f>
        <v/>
      </c>
      <c r="Y117" s="26" t="str">
        <f t="array" ref="Y117">IF(H117="","",IFERROR(INDEX(Manicuristas!$F$6:$F$9,MATCH(H117,Manicuristas!$C$6:$C$9,0)),0))</f>
        <v/>
      </c>
      <c r="Z117" s="24">
        <f t="shared" si="4"/>
        <v>0</v>
      </c>
      <c r="AA117" s="24">
        <f t="shared" si="5"/>
        <v>0</v>
      </c>
      <c r="AB117" s="24">
        <f t="shared" si="6"/>
        <v>0</v>
      </c>
      <c r="AC117" s="24">
        <f t="shared" si="7"/>
        <v>0</v>
      </c>
      <c r="AD117" s="19"/>
    </row>
    <row r="118" ht="15.75" customHeight="1">
      <c r="B118" s="19"/>
      <c r="C118" s="20"/>
      <c r="D118" s="21"/>
      <c r="E118" s="22"/>
      <c r="F118" s="19"/>
      <c r="G118" s="23" t="str">
        <f t="array" ref="G118">IF(F118="","",IFERROR(INDEX(Clientas!$F$6:$F$55,MATCH(F118,Clientas!$C$6:$C$55,0)),""))</f>
        <v/>
      </c>
      <c r="H118" s="19"/>
      <c r="I118" s="19"/>
      <c r="J118" s="19"/>
      <c r="K118" s="19"/>
      <c r="L118" s="24">
        <f>IF(OR(I118="",J118="",G118=""),0,IF(G118="Local",SUMIFS(Servicios!$F$6:$F$39,Servicios!$D$6:$D$39,I118,Servicios!$E$6:$E$39,J118),SUMIFS(Servicios!$G$6:$G$39,Servicios!$D$6:$D$39,I118,Servicios!$E$6:$E$39,J118)))</f>
        <v>0</v>
      </c>
      <c r="M118" s="25"/>
      <c r="N118" s="24">
        <f t="shared" si="1"/>
        <v>0</v>
      </c>
      <c r="O118" s="25"/>
      <c r="P118" s="25"/>
      <c r="Q118" s="25"/>
      <c r="R118" s="24">
        <f t="shared" si="2"/>
        <v>0</v>
      </c>
      <c r="S118" s="24">
        <f t="shared" si="3"/>
        <v>0</v>
      </c>
      <c r="T118" s="19"/>
      <c r="U118" s="19"/>
      <c r="V118" s="19"/>
      <c r="W118" s="26" t="str">
        <f t="array" ref="W118">IF(H118="","",IFERROR(INDEX(Manicuristas!$D$6:$D$9,MATCH(H118,Manicuristas!$C$6:$C$9,0)),0))</f>
        <v/>
      </c>
      <c r="X118" s="26" t="str">
        <f t="array" ref="X118">IF(H118="","",IFERROR(INDEX(Manicuristas!$E$6:$E$9,MATCH(H118,Manicuristas!$C$6:$C$9,0)),0))</f>
        <v/>
      </c>
      <c r="Y118" s="26" t="str">
        <f t="array" ref="Y118">IF(H118="","",IFERROR(INDEX(Manicuristas!$F$6:$F$9,MATCH(H118,Manicuristas!$C$6:$C$9,0)),0))</f>
        <v/>
      </c>
      <c r="Z118" s="24">
        <f t="shared" si="4"/>
        <v>0</v>
      </c>
      <c r="AA118" s="24">
        <f t="shared" si="5"/>
        <v>0</v>
      </c>
      <c r="AB118" s="24">
        <f t="shared" si="6"/>
        <v>0</v>
      </c>
      <c r="AC118" s="24">
        <f t="shared" si="7"/>
        <v>0</v>
      </c>
      <c r="AD118" s="19"/>
    </row>
    <row r="119" ht="15.75" customHeight="1">
      <c r="B119" s="19"/>
      <c r="C119" s="20"/>
      <c r="D119" s="21"/>
      <c r="E119" s="22"/>
      <c r="F119" s="19"/>
      <c r="G119" s="23" t="str">
        <f t="array" ref="G119">IF(F119="","",IFERROR(INDEX(Clientas!$F$6:$F$55,MATCH(F119,Clientas!$C$6:$C$55,0)),""))</f>
        <v/>
      </c>
      <c r="H119" s="19"/>
      <c r="I119" s="19"/>
      <c r="J119" s="19"/>
      <c r="K119" s="19"/>
      <c r="L119" s="24">
        <f>IF(OR(I119="",J119="",G119=""),0,IF(G119="Local",SUMIFS(Servicios!$F$6:$F$39,Servicios!$D$6:$D$39,I119,Servicios!$E$6:$E$39,J119),SUMIFS(Servicios!$G$6:$G$39,Servicios!$D$6:$D$39,I119,Servicios!$E$6:$E$39,J119)))</f>
        <v>0</v>
      </c>
      <c r="M119" s="25"/>
      <c r="N119" s="24">
        <f t="shared" si="1"/>
        <v>0</v>
      </c>
      <c r="O119" s="25"/>
      <c r="P119" s="25"/>
      <c r="Q119" s="25"/>
      <c r="R119" s="24">
        <f t="shared" si="2"/>
        <v>0</v>
      </c>
      <c r="S119" s="24">
        <f t="shared" si="3"/>
        <v>0</v>
      </c>
      <c r="T119" s="19"/>
      <c r="U119" s="19"/>
      <c r="V119" s="19"/>
      <c r="W119" s="26" t="str">
        <f t="array" ref="W119">IF(H119="","",IFERROR(INDEX(Manicuristas!$D$6:$D$9,MATCH(H119,Manicuristas!$C$6:$C$9,0)),0))</f>
        <v/>
      </c>
      <c r="X119" s="26" t="str">
        <f t="array" ref="X119">IF(H119="","",IFERROR(INDEX(Manicuristas!$E$6:$E$9,MATCH(H119,Manicuristas!$C$6:$C$9,0)),0))</f>
        <v/>
      </c>
      <c r="Y119" s="26" t="str">
        <f t="array" ref="Y119">IF(H119="","",IFERROR(INDEX(Manicuristas!$F$6:$F$9,MATCH(H119,Manicuristas!$C$6:$C$9,0)),0))</f>
        <v/>
      </c>
      <c r="Z119" s="24">
        <f t="shared" si="4"/>
        <v>0</v>
      </c>
      <c r="AA119" s="24">
        <f t="shared" si="5"/>
        <v>0</v>
      </c>
      <c r="AB119" s="24">
        <f t="shared" si="6"/>
        <v>0</v>
      </c>
      <c r="AC119" s="24">
        <f t="shared" si="7"/>
        <v>0</v>
      </c>
      <c r="AD119" s="19"/>
    </row>
    <row r="120" ht="15.75" customHeight="1">
      <c r="B120" s="19"/>
      <c r="C120" s="20"/>
      <c r="D120" s="21"/>
      <c r="E120" s="22"/>
      <c r="F120" s="19"/>
      <c r="G120" s="23" t="str">
        <f t="array" ref="G120">IF(F120="","",IFERROR(INDEX(Clientas!$F$6:$F$55,MATCH(F120,Clientas!$C$6:$C$55,0)),""))</f>
        <v/>
      </c>
      <c r="H120" s="19"/>
      <c r="I120" s="19"/>
      <c r="J120" s="19"/>
      <c r="K120" s="19"/>
      <c r="L120" s="24">
        <f>IF(OR(I120="",J120="",G120=""),0,IF(G120="Local",SUMIFS(Servicios!$F$6:$F$39,Servicios!$D$6:$D$39,I120,Servicios!$E$6:$E$39,J120),SUMIFS(Servicios!$G$6:$G$39,Servicios!$D$6:$D$39,I120,Servicios!$E$6:$E$39,J120)))</f>
        <v>0</v>
      </c>
      <c r="M120" s="25"/>
      <c r="N120" s="24">
        <f t="shared" si="1"/>
        <v>0</v>
      </c>
      <c r="O120" s="25"/>
      <c r="P120" s="25"/>
      <c r="Q120" s="25"/>
      <c r="R120" s="24">
        <f t="shared" si="2"/>
        <v>0</v>
      </c>
      <c r="S120" s="24">
        <f t="shared" si="3"/>
        <v>0</v>
      </c>
      <c r="T120" s="19"/>
      <c r="U120" s="19"/>
      <c r="V120" s="19"/>
      <c r="W120" s="26" t="str">
        <f t="array" ref="W120">IF(H120="","",IFERROR(INDEX(Manicuristas!$D$6:$D$9,MATCH(H120,Manicuristas!$C$6:$C$9,0)),0))</f>
        <v/>
      </c>
      <c r="X120" s="26" t="str">
        <f t="array" ref="X120">IF(H120="","",IFERROR(INDEX(Manicuristas!$E$6:$E$9,MATCH(H120,Manicuristas!$C$6:$C$9,0)),0))</f>
        <v/>
      </c>
      <c r="Y120" s="26" t="str">
        <f t="array" ref="Y120">IF(H120="","",IFERROR(INDEX(Manicuristas!$F$6:$F$9,MATCH(H120,Manicuristas!$C$6:$C$9,0)),0))</f>
        <v/>
      </c>
      <c r="Z120" s="24">
        <f t="shared" si="4"/>
        <v>0</v>
      </c>
      <c r="AA120" s="24">
        <f t="shared" si="5"/>
        <v>0</v>
      </c>
      <c r="AB120" s="24">
        <f t="shared" si="6"/>
        <v>0</v>
      </c>
      <c r="AC120" s="24">
        <f t="shared" si="7"/>
        <v>0</v>
      </c>
      <c r="AD120" s="19"/>
    </row>
    <row r="121" ht="15.75" customHeight="1">
      <c r="B121" s="19"/>
      <c r="C121" s="20"/>
      <c r="D121" s="21"/>
      <c r="E121" s="22"/>
      <c r="F121" s="19"/>
      <c r="G121" s="23" t="str">
        <f t="array" ref="G121">IF(F121="","",IFERROR(INDEX(Clientas!$F$6:$F$55,MATCH(F121,Clientas!$C$6:$C$55,0)),""))</f>
        <v/>
      </c>
      <c r="H121" s="19"/>
      <c r="I121" s="19"/>
      <c r="J121" s="19"/>
      <c r="K121" s="19"/>
      <c r="L121" s="24">
        <f>IF(OR(I121="",J121="",G121=""),0,IF(G121="Local",SUMIFS(Servicios!$F$6:$F$39,Servicios!$D$6:$D$39,I121,Servicios!$E$6:$E$39,J121),SUMIFS(Servicios!$G$6:$G$39,Servicios!$D$6:$D$39,I121,Servicios!$E$6:$E$39,J121)))</f>
        <v>0</v>
      </c>
      <c r="M121" s="25"/>
      <c r="N121" s="24">
        <f t="shared" si="1"/>
        <v>0</v>
      </c>
      <c r="O121" s="25"/>
      <c r="P121" s="25"/>
      <c r="Q121" s="25"/>
      <c r="R121" s="24">
        <f t="shared" si="2"/>
        <v>0</v>
      </c>
      <c r="S121" s="24">
        <f t="shared" si="3"/>
        <v>0</v>
      </c>
      <c r="T121" s="19"/>
      <c r="U121" s="19"/>
      <c r="V121" s="19"/>
      <c r="W121" s="26" t="str">
        <f t="array" ref="W121">IF(H121="","",IFERROR(INDEX(Manicuristas!$D$6:$D$9,MATCH(H121,Manicuristas!$C$6:$C$9,0)),0))</f>
        <v/>
      </c>
      <c r="X121" s="26" t="str">
        <f t="array" ref="X121">IF(H121="","",IFERROR(INDEX(Manicuristas!$E$6:$E$9,MATCH(H121,Manicuristas!$C$6:$C$9,0)),0))</f>
        <v/>
      </c>
      <c r="Y121" s="26" t="str">
        <f t="array" ref="Y121">IF(H121="","",IFERROR(INDEX(Manicuristas!$F$6:$F$9,MATCH(H121,Manicuristas!$C$6:$C$9,0)),0))</f>
        <v/>
      </c>
      <c r="Z121" s="24">
        <f t="shared" si="4"/>
        <v>0</v>
      </c>
      <c r="AA121" s="24">
        <f t="shared" si="5"/>
        <v>0</v>
      </c>
      <c r="AB121" s="24">
        <f t="shared" si="6"/>
        <v>0</v>
      </c>
      <c r="AC121" s="24">
        <f t="shared" si="7"/>
        <v>0</v>
      </c>
      <c r="AD121" s="19"/>
    </row>
    <row r="122" ht="15.75" customHeight="1">
      <c r="B122" s="19"/>
      <c r="C122" s="20"/>
      <c r="D122" s="21"/>
      <c r="E122" s="22"/>
      <c r="F122" s="19"/>
      <c r="G122" s="23" t="str">
        <f t="array" ref="G122">IF(F122="","",IFERROR(INDEX(Clientas!$F$6:$F$55,MATCH(F122,Clientas!$C$6:$C$55,0)),""))</f>
        <v/>
      </c>
      <c r="H122" s="19"/>
      <c r="I122" s="19"/>
      <c r="J122" s="19"/>
      <c r="K122" s="19"/>
      <c r="L122" s="24">
        <f>IF(OR(I122="",J122="",G122=""),0,IF(G122="Local",SUMIFS(Servicios!$F$6:$F$39,Servicios!$D$6:$D$39,I122,Servicios!$E$6:$E$39,J122),SUMIFS(Servicios!$G$6:$G$39,Servicios!$D$6:$D$39,I122,Servicios!$E$6:$E$39,J122)))</f>
        <v>0</v>
      </c>
      <c r="M122" s="25"/>
      <c r="N122" s="24">
        <f t="shared" si="1"/>
        <v>0</v>
      </c>
      <c r="O122" s="25"/>
      <c r="P122" s="25"/>
      <c r="Q122" s="25"/>
      <c r="R122" s="24">
        <f t="shared" si="2"/>
        <v>0</v>
      </c>
      <c r="S122" s="24">
        <f t="shared" si="3"/>
        <v>0</v>
      </c>
      <c r="T122" s="19"/>
      <c r="U122" s="19"/>
      <c r="V122" s="19"/>
      <c r="W122" s="26" t="str">
        <f t="array" ref="W122">IF(H122="","",IFERROR(INDEX(Manicuristas!$D$6:$D$9,MATCH(H122,Manicuristas!$C$6:$C$9,0)),0))</f>
        <v/>
      </c>
      <c r="X122" s="26" t="str">
        <f t="array" ref="X122">IF(H122="","",IFERROR(INDEX(Manicuristas!$E$6:$E$9,MATCH(H122,Manicuristas!$C$6:$C$9,0)),0))</f>
        <v/>
      </c>
      <c r="Y122" s="26" t="str">
        <f t="array" ref="Y122">IF(H122="","",IFERROR(INDEX(Manicuristas!$F$6:$F$9,MATCH(H122,Manicuristas!$C$6:$C$9,0)),0))</f>
        <v/>
      </c>
      <c r="Z122" s="24">
        <f t="shared" si="4"/>
        <v>0</v>
      </c>
      <c r="AA122" s="24">
        <f t="shared" si="5"/>
        <v>0</v>
      </c>
      <c r="AB122" s="24">
        <f t="shared" si="6"/>
        <v>0</v>
      </c>
      <c r="AC122" s="24">
        <f t="shared" si="7"/>
        <v>0</v>
      </c>
      <c r="AD122" s="19"/>
    </row>
    <row r="123" ht="15.75" customHeight="1">
      <c r="B123" s="19"/>
      <c r="C123" s="20"/>
      <c r="D123" s="21"/>
      <c r="E123" s="22"/>
      <c r="F123" s="19"/>
      <c r="G123" s="23" t="str">
        <f t="array" ref="G123">IF(F123="","",IFERROR(INDEX(Clientas!$F$6:$F$55,MATCH(F123,Clientas!$C$6:$C$55,0)),""))</f>
        <v/>
      </c>
      <c r="H123" s="19"/>
      <c r="I123" s="19"/>
      <c r="J123" s="19"/>
      <c r="K123" s="19"/>
      <c r="L123" s="24">
        <f>IF(OR(I123="",J123="",G123=""),0,IF(G123="Local",SUMIFS(Servicios!$F$6:$F$39,Servicios!$D$6:$D$39,I123,Servicios!$E$6:$E$39,J123),SUMIFS(Servicios!$G$6:$G$39,Servicios!$D$6:$D$39,I123,Servicios!$E$6:$E$39,J123)))</f>
        <v>0</v>
      </c>
      <c r="M123" s="25"/>
      <c r="N123" s="24">
        <f t="shared" si="1"/>
        <v>0</v>
      </c>
      <c r="O123" s="25"/>
      <c r="P123" s="25"/>
      <c r="Q123" s="25"/>
      <c r="R123" s="24">
        <f t="shared" si="2"/>
        <v>0</v>
      </c>
      <c r="S123" s="24">
        <f t="shared" si="3"/>
        <v>0</v>
      </c>
      <c r="T123" s="19"/>
      <c r="U123" s="19"/>
      <c r="V123" s="19"/>
      <c r="W123" s="26" t="str">
        <f t="array" ref="W123">IF(H123="","",IFERROR(INDEX(Manicuristas!$D$6:$D$9,MATCH(H123,Manicuristas!$C$6:$C$9,0)),0))</f>
        <v/>
      </c>
      <c r="X123" s="26" t="str">
        <f t="array" ref="X123">IF(H123="","",IFERROR(INDEX(Manicuristas!$E$6:$E$9,MATCH(H123,Manicuristas!$C$6:$C$9,0)),0))</f>
        <v/>
      </c>
      <c r="Y123" s="26" t="str">
        <f t="array" ref="Y123">IF(H123="","",IFERROR(INDEX(Manicuristas!$F$6:$F$9,MATCH(H123,Manicuristas!$C$6:$C$9,0)),0))</f>
        <v/>
      </c>
      <c r="Z123" s="24">
        <f t="shared" si="4"/>
        <v>0</v>
      </c>
      <c r="AA123" s="24">
        <f t="shared" si="5"/>
        <v>0</v>
      </c>
      <c r="AB123" s="24">
        <f t="shared" si="6"/>
        <v>0</v>
      </c>
      <c r="AC123" s="24">
        <f t="shared" si="7"/>
        <v>0</v>
      </c>
      <c r="AD123" s="19"/>
    </row>
    <row r="124" ht="15.75" customHeight="1">
      <c r="B124" s="19"/>
      <c r="C124" s="20"/>
      <c r="D124" s="21"/>
      <c r="E124" s="22"/>
      <c r="F124" s="19"/>
      <c r="G124" s="23" t="str">
        <f t="array" ref="G124">IF(F124="","",IFERROR(INDEX(Clientas!$F$6:$F$55,MATCH(F124,Clientas!$C$6:$C$55,0)),""))</f>
        <v/>
      </c>
      <c r="H124" s="19"/>
      <c r="I124" s="19"/>
      <c r="J124" s="19"/>
      <c r="K124" s="19"/>
      <c r="L124" s="24">
        <f>IF(OR(I124="",J124="",G124=""),0,IF(G124="Local",SUMIFS(Servicios!$F$6:$F$39,Servicios!$D$6:$D$39,I124,Servicios!$E$6:$E$39,J124),SUMIFS(Servicios!$G$6:$G$39,Servicios!$D$6:$D$39,I124,Servicios!$E$6:$E$39,J124)))</f>
        <v>0</v>
      </c>
      <c r="M124" s="25"/>
      <c r="N124" s="24">
        <f t="shared" si="1"/>
        <v>0</v>
      </c>
      <c r="O124" s="25"/>
      <c r="P124" s="25"/>
      <c r="Q124" s="25"/>
      <c r="R124" s="24">
        <f t="shared" si="2"/>
        <v>0</v>
      </c>
      <c r="S124" s="24">
        <f t="shared" si="3"/>
        <v>0</v>
      </c>
      <c r="T124" s="19"/>
      <c r="U124" s="19"/>
      <c r="V124" s="19"/>
      <c r="W124" s="26" t="str">
        <f t="array" ref="W124">IF(H124="","",IFERROR(INDEX(Manicuristas!$D$6:$D$9,MATCH(H124,Manicuristas!$C$6:$C$9,0)),0))</f>
        <v/>
      </c>
      <c r="X124" s="26" t="str">
        <f t="array" ref="X124">IF(H124="","",IFERROR(INDEX(Manicuristas!$E$6:$E$9,MATCH(H124,Manicuristas!$C$6:$C$9,0)),0))</f>
        <v/>
      </c>
      <c r="Y124" s="26" t="str">
        <f t="array" ref="Y124">IF(H124="","",IFERROR(INDEX(Manicuristas!$F$6:$F$9,MATCH(H124,Manicuristas!$C$6:$C$9,0)),0))</f>
        <v/>
      </c>
      <c r="Z124" s="24">
        <f t="shared" si="4"/>
        <v>0</v>
      </c>
      <c r="AA124" s="24">
        <f t="shared" si="5"/>
        <v>0</v>
      </c>
      <c r="AB124" s="24">
        <f t="shared" si="6"/>
        <v>0</v>
      </c>
      <c r="AC124" s="24">
        <f t="shared" si="7"/>
        <v>0</v>
      </c>
      <c r="AD124" s="19"/>
    </row>
    <row r="125" ht="15.75" customHeight="1">
      <c r="B125" s="19"/>
      <c r="C125" s="20"/>
      <c r="D125" s="21"/>
      <c r="E125" s="22"/>
      <c r="F125" s="19"/>
      <c r="G125" s="23" t="str">
        <f t="array" ref="G125">IF(F125="","",IFERROR(INDEX(Clientas!$F$6:$F$55,MATCH(F125,Clientas!$C$6:$C$55,0)),""))</f>
        <v/>
      </c>
      <c r="H125" s="19"/>
      <c r="I125" s="19"/>
      <c r="J125" s="19"/>
      <c r="K125" s="19"/>
      <c r="L125" s="24">
        <f>IF(OR(I125="",J125="",G125=""),0,IF(G125="Local",SUMIFS(Servicios!$F$6:$F$39,Servicios!$D$6:$D$39,I125,Servicios!$E$6:$E$39,J125),SUMIFS(Servicios!$G$6:$G$39,Servicios!$D$6:$D$39,I125,Servicios!$E$6:$E$39,J125)))</f>
        <v>0</v>
      </c>
      <c r="M125" s="25"/>
      <c r="N125" s="24">
        <f t="shared" si="1"/>
        <v>0</v>
      </c>
      <c r="O125" s="25"/>
      <c r="P125" s="25"/>
      <c r="Q125" s="25"/>
      <c r="R125" s="24">
        <f t="shared" si="2"/>
        <v>0</v>
      </c>
      <c r="S125" s="24">
        <f t="shared" si="3"/>
        <v>0</v>
      </c>
      <c r="T125" s="19"/>
      <c r="U125" s="19"/>
      <c r="V125" s="19"/>
      <c r="W125" s="26" t="str">
        <f t="array" ref="W125">IF(H125="","",IFERROR(INDEX(Manicuristas!$D$6:$D$9,MATCH(H125,Manicuristas!$C$6:$C$9,0)),0))</f>
        <v/>
      </c>
      <c r="X125" s="26" t="str">
        <f t="array" ref="X125">IF(H125="","",IFERROR(INDEX(Manicuristas!$E$6:$E$9,MATCH(H125,Manicuristas!$C$6:$C$9,0)),0))</f>
        <v/>
      </c>
      <c r="Y125" s="26" t="str">
        <f t="array" ref="Y125">IF(H125="","",IFERROR(INDEX(Manicuristas!$F$6:$F$9,MATCH(H125,Manicuristas!$C$6:$C$9,0)),0))</f>
        <v/>
      </c>
      <c r="Z125" s="24">
        <f t="shared" si="4"/>
        <v>0</v>
      </c>
      <c r="AA125" s="24">
        <f t="shared" si="5"/>
        <v>0</v>
      </c>
      <c r="AB125" s="24">
        <f t="shared" si="6"/>
        <v>0</v>
      </c>
      <c r="AC125" s="24">
        <f t="shared" si="7"/>
        <v>0</v>
      </c>
      <c r="AD125" s="19"/>
    </row>
    <row r="126" ht="15.75" customHeight="1">
      <c r="B126" s="19"/>
      <c r="C126" s="20"/>
      <c r="D126" s="21"/>
      <c r="E126" s="22"/>
      <c r="F126" s="19"/>
      <c r="G126" s="23" t="str">
        <f t="array" ref="G126">IF(F126="","",IFERROR(INDEX(Clientas!$F$6:$F$55,MATCH(F126,Clientas!$C$6:$C$55,0)),""))</f>
        <v/>
      </c>
      <c r="H126" s="19"/>
      <c r="I126" s="19"/>
      <c r="J126" s="19"/>
      <c r="K126" s="19"/>
      <c r="L126" s="24">
        <f>IF(OR(I126="",J126="",G126=""),0,IF(G126="Local",SUMIFS(Servicios!$F$6:$F$39,Servicios!$D$6:$D$39,I126,Servicios!$E$6:$E$39,J126),SUMIFS(Servicios!$G$6:$G$39,Servicios!$D$6:$D$39,I126,Servicios!$E$6:$E$39,J126)))</f>
        <v>0</v>
      </c>
      <c r="M126" s="25"/>
      <c r="N126" s="24">
        <f t="shared" si="1"/>
        <v>0</v>
      </c>
      <c r="O126" s="25"/>
      <c r="P126" s="25"/>
      <c r="Q126" s="25"/>
      <c r="R126" s="24">
        <f t="shared" si="2"/>
        <v>0</v>
      </c>
      <c r="S126" s="24">
        <f t="shared" si="3"/>
        <v>0</v>
      </c>
      <c r="T126" s="19"/>
      <c r="U126" s="19"/>
      <c r="V126" s="19"/>
      <c r="W126" s="26" t="str">
        <f t="array" ref="W126">IF(H126="","",IFERROR(INDEX(Manicuristas!$D$6:$D$9,MATCH(H126,Manicuristas!$C$6:$C$9,0)),0))</f>
        <v/>
      </c>
      <c r="X126" s="26" t="str">
        <f t="array" ref="X126">IF(H126="","",IFERROR(INDEX(Manicuristas!$E$6:$E$9,MATCH(H126,Manicuristas!$C$6:$C$9,0)),0))</f>
        <v/>
      </c>
      <c r="Y126" s="26" t="str">
        <f t="array" ref="Y126">IF(H126="","",IFERROR(INDEX(Manicuristas!$F$6:$F$9,MATCH(H126,Manicuristas!$C$6:$C$9,0)),0))</f>
        <v/>
      </c>
      <c r="Z126" s="24">
        <f t="shared" si="4"/>
        <v>0</v>
      </c>
      <c r="AA126" s="24">
        <f t="shared" si="5"/>
        <v>0</v>
      </c>
      <c r="AB126" s="24">
        <f t="shared" si="6"/>
        <v>0</v>
      </c>
      <c r="AC126" s="24">
        <f t="shared" si="7"/>
        <v>0</v>
      </c>
      <c r="AD126" s="19"/>
    </row>
    <row r="127" ht="15.75" customHeight="1">
      <c r="B127" s="19"/>
      <c r="C127" s="20"/>
      <c r="D127" s="21"/>
      <c r="E127" s="22"/>
      <c r="F127" s="19"/>
      <c r="G127" s="23" t="str">
        <f t="array" ref="G127">IF(F127="","",IFERROR(INDEX(Clientas!$F$6:$F$55,MATCH(F127,Clientas!$C$6:$C$55,0)),""))</f>
        <v/>
      </c>
      <c r="H127" s="19"/>
      <c r="I127" s="19"/>
      <c r="J127" s="19"/>
      <c r="K127" s="19"/>
      <c r="L127" s="24">
        <f>IF(OR(I127="",J127="",G127=""),0,IF(G127="Local",SUMIFS(Servicios!$F$6:$F$39,Servicios!$D$6:$D$39,I127,Servicios!$E$6:$E$39,J127),SUMIFS(Servicios!$G$6:$G$39,Servicios!$D$6:$D$39,I127,Servicios!$E$6:$E$39,J127)))</f>
        <v>0</v>
      </c>
      <c r="M127" s="25"/>
      <c r="N127" s="24">
        <f t="shared" si="1"/>
        <v>0</v>
      </c>
      <c r="O127" s="25"/>
      <c r="P127" s="25"/>
      <c r="Q127" s="25"/>
      <c r="R127" s="24">
        <f t="shared" si="2"/>
        <v>0</v>
      </c>
      <c r="S127" s="24">
        <f t="shared" si="3"/>
        <v>0</v>
      </c>
      <c r="T127" s="19"/>
      <c r="U127" s="19"/>
      <c r="V127" s="19"/>
      <c r="W127" s="26" t="str">
        <f t="array" ref="W127">IF(H127="","",IFERROR(INDEX(Manicuristas!$D$6:$D$9,MATCH(H127,Manicuristas!$C$6:$C$9,0)),0))</f>
        <v/>
      </c>
      <c r="X127" s="26" t="str">
        <f t="array" ref="X127">IF(H127="","",IFERROR(INDEX(Manicuristas!$E$6:$E$9,MATCH(H127,Manicuristas!$C$6:$C$9,0)),0))</f>
        <v/>
      </c>
      <c r="Y127" s="26" t="str">
        <f t="array" ref="Y127">IF(H127="","",IFERROR(INDEX(Manicuristas!$F$6:$F$9,MATCH(H127,Manicuristas!$C$6:$C$9,0)),0))</f>
        <v/>
      </c>
      <c r="Z127" s="24">
        <f t="shared" si="4"/>
        <v>0</v>
      </c>
      <c r="AA127" s="24">
        <f t="shared" si="5"/>
        <v>0</v>
      </c>
      <c r="AB127" s="24">
        <f t="shared" si="6"/>
        <v>0</v>
      </c>
      <c r="AC127" s="24">
        <f t="shared" si="7"/>
        <v>0</v>
      </c>
      <c r="AD127" s="19"/>
    </row>
    <row r="128" ht="15.75" customHeight="1">
      <c r="B128" s="19"/>
      <c r="C128" s="20"/>
      <c r="D128" s="21"/>
      <c r="E128" s="22"/>
      <c r="F128" s="19"/>
      <c r="G128" s="23" t="str">
        <f t="array" ref="G128">IF(F128="","",IFERROR(INDEX(Clientas!$F$6:$F$55,MATCH(F128,Clientas!$C$6:$C$55,0)),""))</f>
        <v/>
      </c>
      <c r="H128" s="19"/>
      <c r="I128" s="19"/>
      <c r="J128" s="19"/>
      <c r="K128" s="19"/>
      <c r="L128" s="24">
        <f>IF(OR(I128="",J128="",G128=""),0,IF(G128="Local",SUMIFS(Servicios!$F$6:$F$39,Servicios!$D$6:$D$39,I128,Servicios!$E$6:$E$39,J128),SUMIFS(Servicios!$G$6:$G$39,Servicios!$D$6:$D$39,I128,Servicios!$E$6:$E$39,J128)))</f>
        <v>0</v>
      </c>
      <c r="M128" s="25"/>
      <c r="N128" s="24">
        <f t="shared" si="1"/>
        <v>0</v>
      </c>
      <c r="O128" s="25"/>
      <c r="P128" s="25"/>
      <c r="Q128" s="25"/>
      <c r="R128" s="24">
        <f t="shared" si="2"/>
        <v>0</v>
      </c>
      <c r="S128" s="24">
        <f t="shared" si="3"/>
        <v>0</v>
      </c>
      <c r="T128" s="19"/>
      <c r="U128" s="19"/>
      <c r="V128" s="19"/>
      <c r="W128" s="26" t="str">
        <f t="array" ref="W128">IF(H128="","",IFERROR(INDEX(Manicuristas!$D$6:$D$9,MATCH(H128,Manicuristas!$C$6:$C$9,0)),0))</f>
        <v/>
      </c>
      <c r="X128" s="26" t="str">
        <f t="array" ref="X128">IF(H128="","",IFERROR(INDEX(Manicuristas!$E$6:$E$9,MATCH(H128,Manicuristas!$C$6:$C$9,0)),0))</f>
        <v/>
      </c>
      <c r="Y128" s="26" t="str">
        <f t="array" ref="Y128">IF(H128="","",IFERROR(INDEX(Manicuristas!$F$6:$F$9,MATCH(H128,Manicuristas!$C$6:$C$9,0)),0))</f>
        <v/>
      </c>
      <c r="Z128" s="24">
        <f t="shared" si="4"/>
        <v>0</v>
      </c>
      <c r="AA128" s="24">
        <f t="shared" si="5"/>
        <v>0</v>
      </c>
      <c r="AB128" s="24">
        <f t="shared" si="6"/>
        <v>0</v>
      </c>
      <c r="AC128" s="24">
        <f t="shared" si="7"/>
        <v>0</v>
      </c>
      <c r="AD128" s="19"/>
    </row>
    <row r="129" ht="15.75" customHeight="1">
      <c r="B129" s="19"/>
      <c r="C129" s="20"/>
      <c r="D129" s="21"/>
      <c r="E129" s="22"/>
      <c r="F129" s="19"/>
      <c r="G129" s="23" t="str">
        <f t="array" ref="G129">IF(F129="","",IFERROR(INDEX(Clientas!$F$6:$F$55,MATCH(F129,Clientas!$C$6:$C$55,0)),""))</f>
        <v/>
      </c>
      <c r="H129" s="19"/>
      <c r="I129" s="19"/>
      <c r="J129" s="19"/>
      <c r="K129" s="19"/>
      <c r="L129" s="24">
        <f>IF(OR(I129="",J129="",G129=""),0,IF(G129="Local",SUMIFS(Servicios!$F$6:$F$39,Servicios!$D$6:$D$39,I129,Servicios!$E$6:$E$39,J129),SUMIFS(Servicios!$G$6:$G$39,Servicios!$D$6:$D$39,I129,Servicios!$E$6:$E$39,J129)))</f>
        <v>0</v>
      </c>
      <c r="M129" s="25"/>
      <c r="N129" s="24">
        <f t="shared" si="1"/>
        <v>0</v>
      </c>
      <c r="O129" s="25"/>
      <c r="P129" s="25"/>
      <c r="Q129" s="25"/>
      <c r="R129" s="24">
        <f t="shared" si="2"/>
        <v>0</v>
      </c>
      <c r="S129" s="24">
        <f t="shared" si="3"/>
        <v>0</v>
      </c>
      <c r="T129" s="19"/>
      <c r="U129" s="19"/>
      <c r="V129" s="19"/>
      <c r="W129" s="26" t="str">
        <f t="array" ref="W129">IF(H129="","",IFERROR(INDEX(Manicuristas!$D$6:$D$9,MATCH(H129,Manicuristas!$C$6:$C$9,0)),0))</f>
        <v/>
      </c>
      <c r="X129" s="26" t="str">
        <f t="array" ref="X129">IF(H129="","",IFERROR(INDEX(Manicuristas!$E$6:$E$9,MATCH(H129,Manicuristas!$C$6:$C$9,0)),0))</f>
        <v/>
      </c>
      <c r="Y129" s="26" t="str">
        <f t="array" ref="Y129">IF(H129="","",IFERROR(INDEX(Manicuristas!$F$6:$F$9,MATCH(H129,Manicuristas!$C$6:$C$9,0)),0))</f>
        <v/>
      </c>
      <c r="Z129" s="24">
        <f t="shared" si="4"/>
        <v>0</v>
      </c>
      <c r="AA129" s="24">
        <f t="shared" si="5"/>
        <v>0</v>
      </c>
      <c r="AB129" s="24">
        <f t="shared" si="6"/>
        <v>0</v>
      </c>
      <c r="AC129" s="24">
        <f t="shared" si="7"/>
        <v>0</v>
      </c>
      <c r="AD129" s="19"/>
    </row>
    <row r="130" ht="15.75" customHeight="1">
      <c r="B130" s="19"/>
      <c r="C130" s="20"/>
      <c r="D130" s="21"/>
      <c r="E130" s="22"/>
      <c r="F130" s="19"/>
      <c r="G130" s="23" t="str">
        <f t="array" ref="G130">IF(F130="","",IFERROR(INDEX(Clientas!$F$6:$F$55,MATCH(F130,Clientas!$C$6:$C$55,0)),""))</f>
        <v/>
      </c>
      <c r="H130" s="19"/>
      <c r="I130" s="19"/>
      <c r="J130" s="19"/>
      <c r="K130" s="19"/>
      <c r="L130" s="24">
        <f>IF(OR(I130="",J130="",G130=""),0,IF(G130="Local",SUMIFS(Servicios!$F$6:$F$39,Servicios!$D$6:$D$39,I130,Servicios!$E$6:$E$39,J130),SUMIFS(Servicios!$G$6:$G$39,Servicios!$D$6:$D$39,I130,Servicios!$E$6:$E$39,J130)))</f>
        <v>0</v>
      </c>
      <c r="M130" s="25"/>
      <c r="N130" s="24">
        <f t="shared" si="1"/>
        <v>0</v>
      </c>
      <c r="O130" s="25"/>
      <c r="P130" s="25"/>
      <c r="Q130" s="25"/>
      <c r="R130" s="24">
        <f t="shared" si="2"/>
        <v>0</v>
      </c>
      <c r="S130" s="24">
        <f t="shared" si="3"/>
        <v>0</v>
      </c>
      <c r="T130" s="19"/>
      <c r="U130" s="19"/>
      <c r="V130" s="19"/>
      <c r="W130" s="26" t="str">
        <f t="array" ref="W130">IF(H130="","",IFERROR(INDEX(Manicuristas!$D$6:$D$9,MATCH(H130,Manicuristas!$C$6:$C$9,0)),0))</f>
        <v/>
      </c>
      <c r="X130" s="26" t="str">
        <f t="array" ref="X130">IF(H130="","",IFERROR(INDEX(Manicuristas!$E$6:$E$9,MATCH(H130,Manicuristas!$C$6:$C$9,0)),0))</f>
        <v/>
      </c>
      <c r="Y130" s="26" t="str">
        <f t="array" ref="Y130">IF(H130="","",IFERROR(INDEX(Manicuristas!$F$6:$F$9,MATCH(H130,Manicuristas!$C$6:$C$9,0)),0))</f>
        <v/>
      </c>
      <c r="Z130" s="24">
        <f t="shared" si="4"/>
        <v>0</v>
      </c>
      <c r="AA130" s="24">
        <f t="shared" si="5"/>
        <v>0</v>
      </c>
      <c r="AB130" s="24">
        <f t="shared" si="6"/>
        <v>0</v>
      </c>
      <c r="AC130" s="24">
        <f t="shared" si="7"/>
        <v>0</v>
      </c>
      <c r="AD130" s="19"/>
    </row>
    <row r="131" ht="15.75" customHeight="1">
      <c r="B131" s="19"/>
      <c r="C131" s="20"/>
      <c r="D131" s="21"/>
      <c r="E131" s="22"/>
      <c r="F131" s="19"/>
      <c r="G131" s="23" t="str">
        <f t="array" ref="G131">IF(F131="","",IFERROR(INDEX(Clientas!$F$6:$F$55,MATCH(F131,Clientas!$C$6:$C$55,0)),""))</f>
        <v/>
      </c>
      <c r="H131" s="19"/>
      <c r="I131" s="19"/>
      <c r="J131" s="19"/>
      <c r="K131" s="19"/>
      <c r="L131" s="24">
        <f>IF(OR(I131="",J131="",G131=""),0,IF(G131="Local",SUMIFS(Servicios!$F$6:$F$39,Servicios!$D$6:$D$39,I131,Servicios!$E$6:$E$39,J131),SUMIFS(Servicios!$G$6:$G$39,Servicios!$D$6:$D$39,I131,Servicios!$E$6:$E$39,J131)))</f>
        <v>0</v>
      </c>
      <c r="M131" s="25"/>
      <c r="N131" s="24">
        <f t="shared" si="1"/>
        <v>0</v>
      </c>
      <c r="O131" s="25"/>
      <c r="P131" s="25"/>
      <c r="Q131" s="25"/>
      <c r="R131" s="24">
        <f t="shared" si="2"/>
        <v>0</v>
      </c>
      <c r="S131" s="24">
        <f t="shared" si="3"/>
        <v>0</v>
      </c>
      <c r="T131" s="19"/>
      <c r="U131" s="19"/>
      <c r="V131" s="19"/>
      <c r="W131" s="26" t="str">
        <f t="array" ref="W131">IF(H131="","",IFERROR(INDEX(Manicuristas!$D$6:$D$9,MATCH(H131,Manicuristas!$C$6:$C$9,0)),0))</f>
        <v/>
      </c>
      <c r="X131" s="26" t="str">
        <f t="array" ref="X131">IF(H131="","",IFERROR(INDEX(Manicuristas!$E$6:$E$9,MATCH(H131,Manicuristas!$C$6:$C$9,0)),0))</f>
        <v/>
      </c>
      <c r="Y131" s="26" t="str">
        <f t="array" ref="Y131">IF(H131="","",IFERROR(INDEX(Manicuristas!$F$6:$F$9,MATCH(H131,Manicuristas!$C$6:$C$9,0)),0))</f>
        <v/>
      </c>
      <c r="Z131" s="24">
        <f t="shared" si="4"/>
        <v>0</v>
      </c>
      <c r="AA131" s="24">
        <f t="shared" si="5"/>
        <v>0</v>
      </c>
      <c r="AB131" s="24">
        <f t="shared" si="6"/>
        <v>0</v>
      </c>
      <c r="AC131" s="24">
        <f t="shared" si="7"/>
        <v>0</v>
      </c>
      <c r="AD131" s="19"/>
    </row>
    <row r="132" ht="15.75" customHeight="1">
      <c r="B132" s="19"/>
      <c r="C132" s="20"/>
      <c r="D132" s="21"/>
      <c r="E132" s="22"/>
      <c r="F132" s="19"/>
      <c r="G132" s="23" t="str">
        <f t="array" ref="G132">IF(F132="","",IFERROR(INDEX(Clientas!$F$6:$F$55,MATCH(F132,Clientas!$C$6:$C$55,0)),""))</f>
        <v/>
      </c>
      <c r="H132" s="19"/>
      <c r="I132" s="19"/>
      <c r="J132" s="19"/>
      <c r="K132" s="19"/>
      <c r="L132" s="24">
        <f>IF(OR(I132="",J132="",G132=""),0,IF(G132="Local",SUMIFS(Servicios!$F$6:$F$39,Servicios!$D$6:$D$39,I132,Servicios!$E$6:$E$39,J132),SUMIFS(Servicios!$G$6:$G$39,Servicios!$D$6:$D$39,I132,Servicios!$E$6:$E$39,J132)))</f>
        <v>0</v>
      </c>
      <c r="M132" s="25"/>
      <c r="N132" s="24">
        <f t="shared" si="1"/>
        <v>0</v>
      </c>
      <c r="O132" s="25"/>
      <c r="P132" s="25"/>
      <c r="Q132" s="25"/>
      <c r="R132" s="24">
        <f t="shared" si="2"/>
        <v>0</v>
      </c>
      <c r="S132" s="24">
        <f t="shared" si="3"/>
        <v>0</v>
      </c>
      <c r="T132" s="19"/>
      <c r="U132" s="19"/>
      <c r="V132" s="19"/>
      <c r="W132" s="26" t="str">
        <f t="array" ref="W132">IF(H132="","",IFERROR(INDEX(Manicuristas!$D$6:$D$9,MATCH(H132,Manicuristas!$C$6:$C$9,0)),0))</f>
        <v/>
      </c>
      <c r="X132" s="26" t="str">
        <f t="array" ref="X132">IF(H132="","",IFERROR(INDEX(Manicuristas!$E$6:$E$9,MATCH(H132,Manicuristas!$C$6:$C$9,0)),0))</f>
        <v/>
      </c>
      <c r="Y132" s="26" t="str">
        <f t="array" ref="Y132">IF(H132="","",IFERROR(INDEX(Manicuristas!$F$6:$F$9,MATCH(H132,Manicuristas!$C$6:$C$9,0)),0))</f>
        <v/>
      </c>
      <c r="Z132" s="24">
        <f t="shared" si="4"/>
        <v>0</v>
      </c>
      <c r="AA132" s="24">
        <f t="shared" si="5"/>
        <v>0</v>
      </c>
      <c r="AB132" s="24">
        <f t="shared" si="6"/>
        <v>0</v>
      </c>
      <c r="AC132" s="24">
        <f t="shared" si="7"/>
        <v>0</v>
      </c>
      <c r="AD132" s="19"/>
    </row>
    <row r="133" ht="15.75" customHeight="1">
      <c r="B133" s="19"/>
      <c r="C133" s="20"/>
      <c r="D133" s="21"/>
      <c r="E133" s="22"/>
      <c r="F133" s="19"/>
      <c r="G133" s="23" t="str">
        <f t="array" ref="G133">IF(F133="","",IFERROR(INDEX(Clientas!$F$6:$F$55,MATCH(F133,Clientas!$C$6:$C$55,0)),""))</f>
        <v/>
      </c>
      <c r="H133" s="19"/>
      <c r="I133" s="19"/>
      <c r="J133" s="19"/>
      <c r="K133" s="19"/>
      <c r="L133" s="24">
        <f>IF(OR(I133="",J133="",G133=""),0,IF(G133="Local",SUMIFS(Servicios!$F$6:$F$39,Servicios!$D$6:$D$39,I133,Servicios!$E$6:$E$39,J133),SUMIFS(Servicios!$G$6:$G$39,Servicios!$D$6:$D$39,I133,Servicios!$E$6:$E$39,J133)))</f>
        <v>0</v>
      </c>
      <c r="M133" s="25"/>
      <c r="N133" s="24">
        <f t="shared" si="1"/>
        <v>0</v>
      </c>
      <c r="O133" s="25"/>
      <c r="P133" s="25"/>
      <c r="Q133" s="25"/>
      <c r="R133" s="24">
        <f t="shared" si="2"/>
        <v>0</v>
      </c>
      <c r="S133" s="24">
        <f t="shared" si="3"/>
        <v>0</v>
      </c>
      <c r="T133" s="19"/>
      <c r="U133" s="19"/>
      <c r="V133" s="19"/>
      <c r="W133" s="26" t="str">
        <f t="array" ref="W133">IF(H133="","",IFERROR(INDEX(Manicuristas!$D$6:$D$9,MATCH(H133,Manicuristas!$C$6:$C$9,0)),0))</f>
        <v/>
      </c>
      <c r="X133" s="26" t="str">
        <f t="array" ref="X133">IF(H133="","",IFERROR(INDEX(Manicuristas!$E$6:$E$9,MATCH(H133,Manicuristas!$C$6:$C$9,0)),0))</f>
        <v/>
      </c>
      <c r="Y133" s="26" t="str">
        <f t="array" ref="Y133">IF(H133="","",IFERROR(INDEX(Manicuristas!$F$6:$F$9,MATCH(H133,Manicuristas!$C$6:$C$9,0)),0))</f>
        <v/>
      </c>
      <c r="Z133" s="24">
        <f t="shared" si="4"/>
        <v>0</v>
      </c>
      <c r="AA133" s="24">
        <f t="shared" si="5"/>
        <v>0</v>
      </c>
      <c r="AB133" s="24">
        <f t="shared" si="6"/>
        <v>0</v>
      </c>
      <c r="AC133" s="24">
        <f t="shared" si="7"/>
        <v>0</v>
      </c>
      <c r="AD133" s="19"/>
    </row>
    <row r="134" ht="15.75" customHeight="1">
      <c r="B134" s="19"/>
      <c r="C134" s="20"/>
      <c r="D134" s="21"/>
      <c r="E134" s="22"/>
      <c r="F134" s="19"/>
      <c r="G134" s="23" t="str">
        <f t="array" ref="G134">IF(F134="","",IFERROR(INDEX(Clientas!$F$6:$F$55,MATCH(F134,Clientas!$C$6:$C$55,0)),""))</f>
        <v/>
      </c>
      <c r="H134" s="19"/>
      <c r="I134" s="19"/>
      <c r="J134" s="19"/>
      <c r="K134" s="19"/>
      <c r="L134" s="24">
        <f>IF(OR(I134="",J134="",G134=""),0,IF(G134="Local",SUMIFS(Servicios!$F$6:$F$39,Servicios!$D$6:$D$39,I134,Servicios!$E$6:$E$39,J134),SUMIFS(Servicios!$G$6:$G$39,Servicios!$D$6:$D$39,I134,Servicios!$E$6:$E$39,J134)))</f>
        <v>0</v>
      </c>
      <c r="M134" s="25"/>
      <c r="N134" s="24">
        <f t="shared" si="1"/>
        <v>0</v>
      </c>
      <c r="O134" s="25"/>
      <c r="P134" s="25"/>
      <c r="Q134" s="25"/>
      <c r="R134" s="24">
        <f t="shared" si="2"/>
        <v>0</v>
      </c>
      <c r="S134" s="24">
        <f t="shared" si="3"/>
        <v>0</v>
      </c>
      <c r="T134" s="19"/>
      <c r="U134" s="19"/>
      <c r="V134" s="19"/>
      <c r="W134" s="26" t="str">
        <f t="array" ref="W134">IF(H134="","",IFERROR(INDEX(Manicuristas!$D$6:$D$9,MATCH(H134,Manicuristas!$C$6:$C$9,0)),0))</f>
        <v/>
      </c>
      <c r="X134" s="26" t="str">
        <f t="array" ref="X134">IF(H134="","",IFERROR(INDEX(Manicuristas!$E$6:$E$9,MATCH(H134,Manicuristas!$C$6:$C$9,0)),0))</f>
        <v/>
      </c>
      <c r="Y134" s="26" t="str">
        <f t="array" ref="Y134">IF(H134="","",IFERROR(INDEX(Manicuristas!$F$6:$F$9,MATCH(H134,Manicuristas!$C$6:$C$9,0)),0))</f>
        <v/>
      </c>
      <c r="Z134" s="24">
        <f t="shared" si="4"/>
        <v>0</v>
      </c>
      <c r="AA134" s="24">
        <f t="shared" si="5"/>
        <v>0</v>
      </c>
      <c r="AB134" s="24">
        <f t="shared" si="6"/>
        <v>0</v>
      </c>
      <c r="AC134" s="24">
        <f t="shared" si="7"/>
        <v>0</v>
      </c>
      <c r="AD134" s="19"/>
    </row>
    <row r="135" ht="15.75" customHeight="1">
      <c r="B135" s="19"/>
      <c r="C135" s="20"/>
      <c r="D135" s="21"/>
      <c r="E135" s="22"/>
      <c r="F135" s="19"/>
      <c r="G135" s="23" t="str">
        <f t="array" ref="G135">IF(F135="","",IFERROR(INDEX(Clientas!$F$6:$F$55,MATCH(F135,Clientas!$C$6:$C$55,0)),""))</f>
        <v/>
      </c>
      <c r="H135" s="19"/>
      <c r="I135" s="19"/>
      <c r="J135" s="19"/>
      <c r="K135" s="19"/>
      <c r="L135" s="24">
        <f>IF(OR(I135="",J135="",G135=""),0,IF(G135="Local",SUMIFS(Servicios!$F$6:$F$39,Servicios!$D$6:$D$39,I135,Servicios!$E$6:$E$39,J135),SUMIFS(Servicios!$G$6:$G$39,Servicios!$D$6:$D$39,I135,Servicios!$E$6:$E$39,J135)))</f>
        <v>0</v>
      </c>
      <c r="M135" s="25"/>
      <c r="N135" s="24">
        <f t="shared" si="1"/>
        <v>0</v>
      </c>
      <c r="O135" s="25"/>
      <c r="P135" s="25"/>
      <c r="Q135" s="25"/>
      <c r="R135" s="24">
        <f t="shared" si="2"/>
        <v>0</v>
      </c>
      <c r="S135" s="24">
        <f t="shared" si="3"/>
        <v>0</v>
      </c>
      <c r="T135" s="19"/>
      <c r="U135" s="19"/>
      <c r="V135" s="19"/>
      <c r="W135" s="26" t="str">
        <f t="array" ref="W135">IF(H135="","",IFERROR(INDEX(Manicuristas!$D$6:$D$9,MATCH(H135,Manicuristas!$C$6:$C$9,0)),0))</f>
        <v/>
      </c>
      <c r="X135" s="26" t="str">
        <f t="array" ref="X135">IF(H135="","",IFERROR(INDEX(Manicuristas!$E$6:$E$9,MATCH(H135,Manicuristas!$C$6:$C$9,0)),0))</f>
        <v/>
      </c>
      <c r="Y135" s="26" t="str">
        <f t="array" ref="Y135">IF(H135="","",IFERROR(INDEX(Manicuristas!$F$6:$F$9,MATCH(H135,Manicuristas!$C$6:$C$9,0)),0))</f>
        <v/>
      </c>
      <c r="Z135" s="24">
        <f t="shared" si="4"/>
        <v>0</v>
      </c>
      <c r="AA135" s="24">
        <f t="shared" si="5"/>
        <v>0</v>
      </c>
      <c r="AB135" s="24">
        <f t="shared" si="6"/>
        <v>0</v>
      </c>
      <c r="AC135" s="24">
        <f t="shared" si="7"/>
        <v>0</v>
      </c>
      <c r="AD135" s="19"/>
    </row>
    <row r="136" ht="15.75" customHeight="1">
      <c r="B136" s="19"/>
      <c r="C136" s="20"/>
      <c r="D136" s="21"/>
      <c r="E136" s="22"/>
      <c r="F136" s="19"/>
      <c r="G136" s="23" t="str">
        <f t="array" ref="G136">IF(F136="","",IFERROR(INDEX(Clientas!$F$6:$F$55,MATCH(F136,Clientas!$C$6:$C$55,0)),""))</f>
        <v/>
      </c>
      <c r="H136" s="19"/>
      <c r="I136" s="19"/>
      <c r="J136" s="19"/>
      <c r="K136" s="19"/>
      <c r="L136" s="24">
        <f>IF(OR(I136="",J136="",G136=""),0,IF(G136="Local",SUMIFS(Servicios!$F$6:$F$39,Servicios!$D$6:$D$39,I136,Servicios!$E$6:$E$39,J136),SUMIFS(Servicios!$G$6:$G$39,Servicios!$D$6:$D$39,I136,Servicios!$E$6:$E$39,J136)))</f>
        <v>0</v>
      </c>
      <c r="M136" s="25"/>
      <c r="N136" s="24">
        <f t="shared" si="1"/>
        <v>0</v>
      </c>
      <c r="O136" s="25"/>
      <c r="P136" s="25"/>
      <c r="Q136" s="25"/>
      <c r="R136" s="24">
        <f t="shared" si="2"/>
        <v>0</v>
      </c>
      <c r="S136" s="24">
        <f t="shared" si="3"/>
        <v>0</v>
      </c>
      <c r="T136" s="19"/>
      <c r="U136" s="19"/>
      <c r="V136" s="19"/>
      <c r="W136" s="26" t="str">
        <f t="array" ref="W136">IF(H136="","",IFERROR(INDEX(Manicuristas!$D$6:$D$9,MATCH(H136,Manicuristas!$C$6:$C$9,0)),0))</f>
        <v/>
      </c>
      <c r="X136" s="26" t="str">
        <f t="array" ref="X136">IF(H136="","",IFERROR(INDEX(Manicuristas!$E$6:$E$9,MATCH(H136,Manicuristas!$C$6:$C$9,0)),0))</f>
        <v/>
      </c>
      <c r="Y136" s="26" t="str">
        <f t="array" ref="Y136">IF(H136="","",IFERROR(INDEX(Manicuristas!$F$6:$F$9,MATCH(H136,Manicuristas!$C$6:$C$9,0)),0))</f>
        <v/>
      </c>
      <c r="Z136" s="24">
        <f t="shared" si="4"/>
        <v>0</v>
      </c>
      <c r="AA136" s="24">
        <f t="shared" si="5"/>
        <v>0</v>
      </c>
      <c r="AB136" s="24">
        <f t="shared" si="6"/>
        <v>0</v>
      </c>
      <c r="AC136" s="24">
        <f t="shared" si="7"/>
        <v>0</v>
      </c>
      <c r="AD136" s="19"/>
    </row>
    <row r="137" ht="15.75" customHeight="1">
      <c r="B137" s="19"/>
      <c r="C137" s="20"/>
      <c r="D137" s="21"/>
      <c r="E137" s="22"/>
      <c r="F137" s="19"/>
      <c r="G137" s="23" t="str">
        <f t="array" ref="G137">IF(F137="","",IFERROR(INDEX(Clientas!$F$6:$F$55,MATCH(F137,Clientas!$C$6:$C$55,0)),""))</f>
        <v/>
      </c>
      <c r="H137" s="19"/>
      <c r="I137" s="19"/>
      <c r="J137" s="19"/>
      <c r="K137" s="19"/>
      <c r="L137" s="24">
        <f>IF(OR(I137="",J137="",G137=""),0,IF(G137="Local",SUMIFS(Servicios!$F$6:$F$39,Servicios!$D$6:$D$39,I137,Servicios!$E$6:$E$39,J137),SUMIFS(Servicios!$G$6:$G$39,Servicios!$D$6:$D$39,I137,Servicios!$E$6:$E$39,J137)))</f>
        <v>0</v>
      </c>
      <c r="M137" s="25"/>
      <c r="N137" s="24">
        <f t="shared" si="1"/>
        <v>0</v>
      </c>
      <c r="O137" s="25"/>
      <c r="P137" s="25"/>
      <c r="Q137" s="25"/>
      <c r="R137" s="24">
        <f t="shared" si="2"/>
        <v>0</v>
      </c>
      <c r="S137" s="24">
        <f t="shared" si="3"/>
        <v>0</v>
      </c>
      <c r="T137" s="19"/>
      <c r="U137" s="19"/>
      <c r="V137" s="19"/>
      <c r="W137" s="26" t="str">
        <f t="array" ref="W137">IF(H137="","",IFERROR(INDEX(Manicuristas!$D$6:$D$9,MATCH(H137,Manicuristas!$C$6:$C$9,0)),0))</f>
        <v/>
      </c>
      <c r="X137" s="26" t="str">
        <f t="array" ref="X137">IF(H137="","",IFERROR(INDEX(Manicuristas!$E$6:$E$9,MATCH(H137,Manicuristas!$C$6:$C$9,0)),0))</f>
        <v/>
      </c>
      <c r="Y137" s="26" t="str">
        <f t="array" ref="Y137">IF(H137="","",IFERROR(INDEX(Manicuristas!$F$6:$F$9,MATCH(H137,Manicuristas!$C$6:$C$9,0)),0))</f>
        <v/>
      </c>
      <c r="Z137" s="24">
        <f t="shared" si="4"/>
        <v>0</v>
      </c>
      <c r="AA137" s="24">
        <f t="shared" si="5"/>
        <v>0</v>
      </c>
      <c r="AB137" s="24">
        <f t="shared" si="6"/>
        <v>0</v>
      </c>
      <c r="AC137" s="24">
        <f t="shared" si="7"/>
        <v>0</v>
      </c>
      <c r="AD137" s="19"/>
    </row>
    <row r="138" ht="15.75" customHeight="1">
      <c r="B138" s="19"/>
      <c r="C138" s="20"/>
      <c r="D138" s="21"/>
      <c r="E138" s="22"/>
      <c r="F138" s="19"/>
      <c r="G138" s="23" t="str">
        <f t="array" ref="G138">IF(F138="","",IFERROR(INDEX(Clientas!$F$6:$F$55,MATCH(F138,Clientas!$C$6:$C$55,0)),""))</f>
        <v/>
      </c>
      <c r="H138" s="19"/>
      <c r="I138" s="19"/>
      <c r="J138" s="19"/>
      <c r="K138" s="19"/>
      <c r="L138" s="24">
        <f>IF(OR(I138="",J138="",G138=""),0,IF(G138="Local",SUMIFS(Servicios!$F$6:$F$39,Servicios!$D$6:$D$39,I138,Servicios!$E$6:$E$39,J138),SUMIFS(Servicios!$G$6:$G$39,Servicios!$D$6:$D$39,I138,Servicios!$E$6:$E$39,J138)))</f>
        <v>0</v>
      </c>
      <c r="M138" s="25"/>
      <c r="N138" s="24">
        <f t="shared" si="1"/>
        <v>0</v>
      </c>
      <c r="O138" s="25"/>
      <c r="P138" s="25"/>
      <c r="Q138" s="25"/>
      <c r="R138" s="24">
        <f t="shared" si="2"/>
        <v>0</v>
      </c>
      <c r="S138" s="24">
        <f t="shared" si="3"/>
        <v>0</v>
      </c>
      <c r="T138" s="19"/>
      <c r="U138" s="19"/>
      <c r="V138" s="19"/>
      <c r="W138" s="26" t="str">
        <f t="array" ref="W138">IF(H138="","",IFERROR(INDEX(Manicuristas!$D$6:$D$9,MATCH(H138,Manicuristas!$C$6:$C$9,0)),0))</f>
        <v/>
      </c>
      <c r="X138" s="26" t="str">
        <f t="array" ref="X138">IF(H138="","",IFERROR(INDEX(Manicuristas!$E$6:$E$9,MATCH(H138,Manicuristas!$C$6:$C$9,0)),0))</f>
        <v/>
      </c>
      <c r="Y138" s="26" t="str">
        <f t="array" ref="Y138">IF(H138="","",IFERROR(INDEX(Manicuristas!$F$6:$F$9,MATCH(H138,Manicuristas!$C$6:$C$9,0)),0))</f>
        <v/>
      </c>
      <c r="Z138" s="24">
        <f t="shared" si="4"/>
        <v>0</v>
      </c>
      <c r="AA138" s="24">
        <f t="shared" si="5"/>
        <v>0</v>
      </c>
      <c r="AB138" s="24">
        <f t="shared" si="6"/>
        <v>0</v>
      </c>
      <c r="AC138" s="24">
        <f t="shared" si="7"/>
        <v>0</v>
      </c>
      <c r="AD138" s="19"/>
    </row>
    <row r="139" ht="15.75" customHeight="1">
      <c r="B139" s="19"/>
      <c r="C139" s="20"/>
      <c r="D139" s="21"/>
      <c r="E139" s="22"/>
      <c r="F139" s="19"/>
      <c r="G139" s="23" t="str">
        <f t="array" ref="G139">IF(F139="","",IFERROR(INDEX(Clientas!$F$6:$F$55,MATCH(F139,Clientas!$C$6:$C$55,0)),""))</f>
        <v/>
      </c>
      <c r="H139" s="19"/>
      <c r="I139" s="19"/>
      <c r="J139" s="19"/>
      <c r="K139" s="19"/>
      <c r="L139" s="24">
        <f>IF(OR(I139="",J139="",G139=""),0,IF(G139="Local",SUMIFS(Servicios!$F$6:$F$39,Servicios!$D$6:$D$39,I139,Servicios!$E$6:$E$39,J139),SUMIFS(Servicios!$G$6:$G$39,Servicios!$D$6:$D$39,I139,Servicios!$E$6:$E$39,J139)))</f>
        <v>0</v>
      </c>
      <c r="M139" s="25"/>
      <c r="N139" s="24">
        <f t="shared" si="1"/>
        <v>0</v>
      </c>
      <c r="O139" s="25"/>
      <c r="P139" s="25"/>
      <c r="Q139" s="25"/>
      <c r="R139" s="24">
        <f t="shared" si="2"/>
        <v>0</v>
      </c>
      <c r="S139" s="24">
        <f t="shared" si="3"/>
        <v>0</v>
      </c>
      <c r="T139" s="19"/>
      <c r="U139" s="19"/>
      <c r="V139" s="19"/>
      <c r="W139" s="26" t="str">
        <f t="array" ref="W139">IF(H139="","",IFERROR(INDEX(Manicuristas!$D$6:$D$9,MATCH(H139,Manicuristas!$C$6:$C$9,0)),0))</f>
        <v/>
      </c>
      <c r="X139" s="26" t="str">
        <f t="array" ref="X139">IF(H139="","",IFERROR(INDEX(Manicuristas!$E$6:$E$9,MATCH(H139,Manicuristas!$C$6:$C$9,0)),0))</f>
        <v/>
      </c>
      <c r="Y139" s="26" t="str">
        <f t="array" ref="Y139">IF(H139="","",IFERROR(INDEX(Manicuristas!$F$6:$F$9,MATCH(H139,Manicuristas!$C$6:$C$9,0)),0))</f>
        <v/>
      </c>
      <c r="Z139" s="24">
        <f t="shared" si="4"/>
        <v>0</v>
      </c>
      <c r="AA139" s="24">
        <f t="shared" si="5"/>
        <v>0</v>
      </c>
      <c r="AB139" s="24">
        <f t="shared" si="6"/>
        <v>0</v>
      </c>
      <c r="AC139" s="24">
        <f t="shared" si="7"/>
        <v>0</v>
      </c>
      <c r="AD139" s="19"/>
    </row>
    <row r="140" ht="15.75" customHeight="1">
      <c r="B140" s="19"/>
      <c r="C140" s="20"/>
      <c r="D140" s="21"/>
      <c r="E140" s="22"/>
      <c r="F140" s="19"/>
      <c r="G140" s="23" t="str">
        <f t="array" ref="G140">IF(F140="","",IFERROR(INDEX(Clientas!$F$6:$F$55,MATCH(F140,Clientas!$C$6:$C$55,0)),""))</f>
        <v/>
      </c>
      <c r="H140" s="19"/>
      <c r="I140" s="19"/>
      <c r="J140" s="19"/>
      <c r="K140" s="19"/>
      <c r="L140" s="24">
        <f>IF(OR(I140="",J140="",G140=""),0,IF(G140="Local",SUMIFS(Servicios!$F$6:$F$39,Servicios!$D$6:$D$39,I140,Servicios!$E$6:$E$39,J140),SUMIFS(Servicios!$G$6:$G$39,Servicios!$D$6:$D$39,I140,Servicios!$E$6:$E$39,J140)))</f>
        <v>0</v>
      </c>
      <c r="M140" s="25"/>
      <c r="N140" s="24">
        <f t="shared" si="1"/>
        <v>0</v>
      </c>
      <c r="O140" s="25"/>
      <c r="P140" s="25"/>
      <c r="Q140" s="25"/>
      <c r="R140" s="24">
        <f t="shared" si="2"/>
        <v>0</v>
      </c>
      <c r="S140" s="24">
        <f t="shared" si="3"/>
        <v>0</v>
      </c>
      <c r="T140" s="19"/>
      <c r="U140" s="19"/>
      <c r="V140" s="19"/>
      <c r="W140" s="26" t="str">
        <f t="array" ref="W140">IF(H140="","",IFERROR(INDEX(Manicuristas!$D$6:$D$9,MATCH(H140,Manicuristas!$C$6:$C$9,0)),0))</f>
        <v/>
      </c>
      <c r="X140" s="26" t="str">
        <f t="array" ref="X140">IF(H140="","",IFERROR(INDEX(Manicuristas!$E$6:$E$9,MATCH(H140,Manicuristas!$C$6:$C$9,0)),0))</f>
        <v/>
      </c>
      <c r="Y140" s="26" t="str">
        <f t="array" ref="Y140">IF(H140="","",IFERROR(INDEX(Manicuristas!$F$6:$F$9,MATCH(H140,Manicuristas!$C$6:$C$9,0)),0))</f>
        <v/>
      </c>
      <c r="Z140" s="24">
        <f t="shared" si="4"/>
        <v>0</v>
      </c>
      <c r="AA140" s="24">
        <f t="shared" si="5"/>
        <v>0</v>
      </c>
      <c r="AB140" s="24">
        <f t="shared" si="6"/>
        <v>0</v>
      </c>
      <c r="AC140" s="24">
        <f t="shared" si="7"/>
        <v>0</v>
      </c>
      <c r="AD140" s="19"/>
    </row>
    <row r="141" ht="15.75" customHeight="1">
      <c r="B141" s="19"/>
      <c r="C141" s="20"/>
      <c r="D141" s="21"/>
      <c r="E141" s="22"/>
      <c r="F141" s="19"/>
      <c r="G141" s="23" t="str">
        <f t="array" ref="G141">IF(F141="","",IFERROR(INDEX(Clientas!$F$6:$F$55,MATCH(F141,Clientas!$C$6:$C$55,0)),""))</f>
        <v/>
      </c>
      <c r="H141" s="19"/>
      <c r="I141" s="19"/>
      <c r="J141" s="19"/>
      <c r="K141" s="19"/>
      <c r="L141" s="24">
        <f>IF(OR(I141="",J141="",G141=""),0,IF(G141="Local",SUMIFS(Servicios!$F$6:$F$39,Servicios!$D$6:$D$39,I141,Servicios!$E$6:$E$39,J141),SUMIFS(Servicios!$G$6:$G$39,Servicios!$D$6:$D$39,I141,Servicios!$E$6:$E$39,J141)))</f>
        <v>0</v>
      </c>
      <c r="M141" s="25"/>
      <c r="N141" s="24">
        <f t="shared" si="1"/>
        <v>0</v>
      </c>
      <c r="O141" s="25"/>
      <c r="P141" s="25"/>
      <c r="Q141" s="25"/>
      <c r="R141" s="24">
        <f t="shared" si="2"/>
        <v>0</v>
      </c>
      <c r="S141" s="24">
        <f t="shared" si="3"/>
        <v>0</v>
      </c>
      <c r="T141" s="19"/>
      <c r="U141" s="19"/>
      <c r="V141" s="19"/>
      <c r="W141" s="26" t="str">
        <f t="array" ref="W141">IF(H141="","",IFERROR(INDEX(Manicuristas!$D$6:$D$9,MATCH(H141,Manicuristas!$C$6:$C$9,0)),0))</f>
        <v/>
      </c>
      <c r="X141" s="26" t="str">
        <f t="array" ref="X141">IF(H141="","",IFERROR(INDEX(Manicuristas!$E$6:$E$9,MATCH(H141,Manicuristas!$C$6:$C$9,0)),0))</f>
        <v/>
      </c>
      <c r="Y141" s="26" t="str">
        <f t="array" ref="Y141">IF(H141="","",IFERROR(INDEX(Manicuristas!$F$6:$F$9,MATCH(H141,Manicuristas!$C$6:$C$9,0)),0))</f>
        <v/>
      </c>
      <c r="Z141" s="24">
        <f t="shared" si="4"/>
        <v>0</v>
      </c>
      <c r="AA141" s="24">
        <f t="shared" si="5"/>
        <v>0</v>
      </c>
      <c r="AB141" s="24">
        <f t="shared" si="6"/>
        <v>0</v>
      </c>
      <c r="AC141" s="24">
        <f t="shared" si="7"/>
        <v>0</v>
      </c>
      <c r="AD141" s="19"/>
    </row>
    <row r="142" ht="15.75" customHeight="1">
      <c r="B142" s="19"/>
      <c r="C142" s="20"/>
      <c r="D142" s="21"/>
      <c r="E142" s="22"/>
      <c r="F142" s="19"/>
      <c r="G142" s="23" t="str">
        <f t="array" ref="G142">IF(F142="","",IFERROR(INDEX(Clientas!$F$6:$F$55,MATCH(F142,Clientas!$C$6:$C$55,0)),""))</f>
        <v/>
      </c>
      <c r="H142" s="19"/>
      <c r="I142" s="19"/>
      <c r="J142" s="19"/>
      <c r="K142" s="19"/>
      <c r="L142" s="24">
        <f>IF(OR(I142="",J142="",G142=""),0,IF(G142="Local",SUMIFS(Servicios!$F$6:$F$39,Servicios!$D$6:$D$39,I142,Servicios!$E$6:$E$39,J142),SUMIFS(Servicios!$G$6:$G$39,Servicios!$D$6:$D$39,I142,Servicios!$E$6:$E$39,J142)))</f>
        <v>0</v>
      </c>
      <c r="M142" s="25"/>
      <c r="N142" s="24">
        <f t="shared" si="1"/>
        <v>0</v>
      </c>
      <c r="O142" s="25"/>
      <c r="P142" s="25"/>
      <c r="Q142" s="25"/>
      <c r="R142" s="24">
        <f t="shared" si="2"/>
        <v>0</v>
      </c>
      <c r="S142" s="24">
        <f t="shared" si="3"/>
        <v>0</v>
      </c>
      <c r="T142" s="19"/>
      <c r="U142" s="19"/>
      <c r="V142" s="19"/>
      <c r="W142" s="26" t="str">
        <f t="array" ref="W142">IF(H142="","",IFERROR(INDEX(Manicuristas!$D$6:$D$9,MATCH(H142,Manicuristas!$C$6:$C$9,0)),0))</f>
        <v/>
      </c>
      <c r="X142" s="26" t="str">
        <f t="array" ref="X142">IF(H142="","",IFERROR(INDEX(Manicuristas!$E$6:$E$9,MATCH(H142,Manicuristas!$C$6:$C$9,0)),0))</f>
        <v/>
      </c>
      <c r="Y142" s="26" t="str">
        <f t="array" ref="Y142">IF(H142="","",IFERROR(INDEX(Manicuristas!$F$6:$F$9,MATCH(H142,Manicuristas!$C$6:$C$9,0)),0))</f>
        <v/>
      </c>
      <c r="Z142" s="24">
        <f t="shared" si="4"/>
        <v>0</v>
      </c>
      <c r="AA142" s="24">
        <f t="shared" si="5"/>
        <v>0</v>
      </c>
      <c r="AB142" s="24">
        <f t="shared" si="6"/>
        <v>0</v>
      </c>
      <c r="AC142" s="24">
        <f t="shared" si="7"/>
        <v>0</v>
      </c>
      <c r="AD142" s="19"/>
    </row>
    <row r="143" ht="15.75" customHeight="1">
      <c r="B143" s="19"/>
      <c r="C143" s="20"/>
      <c r="D143" s="21"/>
      <c r="E143" s="22"/>
      <c r="F143" s="19"/>
      <c r="G143" s="23" t="str">
        <f t="array" ref="G143">IF(F143="","",IFERROR(INDEX(Clientas!$F$6:$F$55,MATCH(F143,Clientas!$C$6:$C$55,0)),""))</f>
        <v/>
      </c>
      <c r="H143" s="19"/>
      <c r="I143" s="19"/>
      <c r="J143" s="19"/>
      <c r="K143" s="19"/>
      <c r="L143" s="24">
        <f>IF(OR(I143="",J143="",G143=""),0,IF(G143="Local",SUMIFS(Servicios!$F$6:$F$39,Servicios!$D$6:$D$39,I143,Servicios!$E$6:$E$39,J143),SUMIFS(Servicios!$G$6:$G$39,Servicios!$D$6:$D$39,I143,Servicios!$E$6:$E$39,J143)))</f>
        <v>0</v>
      </c>
      <c r="M143" s="25"/>
      <c r="N143" s="24">
        <f t="shared" si="1"/>
        <v>0</v>
      </c>
      <c r="O143" s="25"/>
      <c r="P143" s="25"/>
      <c r="Q143" s="25"/>
      <c r="R143" s="24">
        <f t="shared" si="2"/>
        <v>0</v>
      </c>
      <c r="S143" s="24">
        <f t="shared" si="3"/>
        <v>0</v>
      </c>
      <c r="T143" s="19"/>
      <c r="U143" s="19"/>
      <c r="V143" s="19"/>
      <c r="W143" s="26" t="str">
        <f t="array" ref="W143">IF(H143="","",IFERROR(INDEX(Manicuristas!$D$6:$D$9,MATCH(H143,Manicuristas!$C$6:$C$9,0)),0))</f>
        <v/>
      </c>
      <c r="X143" s="26" t="str">
        <f t="array" ref="X143">IF(H143="","",IFERROR(INDEX(Manicuristas!$E$6:$E$9,MATCH(H143,Manicuristas!$C$6:$C$9,0)),0))</f>
        <v/>
      </c>
      <c r="Y143" s="26" t="str">
        <f t="array" ref="Y143">IF(H143="","",IFERROR(INDEX(Manicuristas!$F$6:$F$9,MATCH(H143,Manicuristas!$C$6:$C$9,0)),0))</f>
        <v/>
      </c>
      <c r="Z143" s="24">
        <f t="shared" si="4"/>
        <v>0</v>
      </c>
      <c r="AA143" s="24">
        <f t="shared" si="5"/>
        <v>0</v>
      </c>
      <c r="AB143" s="24">
        <f t="shared" si="6"/>
        <v>0</v>
      </c>
      <c r="AC143" s="24">
        <f t="shared" si="7"/>
        <v>0</v>
      </c>
      <c r="AD143" s="19"/>
    </row>
    <row r="144" ht="15.75" customHeight="1">
      <c r="B144" s="19"/>
      <c r="C144" s="20"/>
      <c r="D144" s="21"/>
      <c r="E144" s="22"/>
      <c r="F144" s="19"/>
      <c r="G144" s="23" t="str">
        <f t="array" ref="G144">IF(F144="","",IFERROR(INDEX(Clientas!$F$6:$F$55,MATCH(F144,Clientas!$C$6:$C$55,0)),""))</f>
        <v/>
      </c>
      <c r="H144" s="19"/>
      <c r="I144" s="19"/>
      <c r="J144" s="19"/>
      <c r="K144" s="19"/>
      <c r="L144" s="24">
        <f>IF(OR(I144="",J144="",G144=""),0,IF(G144="Local",SUMIFS(Servicios!$F$6:$F$39,Servicios!$D$6:$D$39,I144,Servicios!$E$6:$E$39,J144),SUMIFS(Servicios!$G$6:$G$39,Servicios!$D$6:$D$39,I144,Servicios!$E$6:$E$39,J144)))</f>
        <v>0</v>
      </c>
      <c r="M144" s="25"/>
      <c r="N144" s="24">
        <f t="shared" si="1"/>
        <v>0</v>
      </c>
      <c r="O144" s="25"/>
      <c r="P144" s="25"/>
      <c r="Q144" s="25"/>
      <c r="R144" s="24">
        <f t="shared" si="2"/>
        <v>0</v>
      </c>
      <c r="S144" s="24">
        <f t="shared" si="3"/>
        <v>0</v>
      </c>
      <c r="T144" s="19"/>
      <c r="U144" s="19"/>
      <c r="V144" s="19"/>
      <c r="W144" s="26" t="str">
        <f t="array" ref="W144">IF(H144="","",IFERROR(INDEX(Manicuristas!$D$6:$D$9,MATCH(H144,Manicuristas!$C$6:$C$9,0)),0))</f>
        <v/>
      </c>
      <c r="X144" s="26" t="str">
        <f t="array" ref="X144">IF(H144="","",IFERROR(INDEX(Manicuristas!$E$6:$E$9,MATCH(H144,Manicuristas!$C$6:$C$9,0)),0))</f>
        <v/>
      </c>
      <c r="Y144" s="26" t="str">
        <f t="array" ref="Y144">IF(H144="","",IFERROR(INDEX(Manicuristas!$F$6:$F$9,MATCH(H144,Manicuristas!$C$6:$C$9,0)),0))</f>
        <v/>
      </c>
      <c r="Z144" s="24">
        <f t="shared" si="4"/>
        <v>0</v>
      </c>
      <c r="AA144" s="24">
        <f t="shared" si="5"/>
        <v>0</v>
      </c>
      <c r="AB144" s="24">
        <f t="shared" si="6"/>
        <v>0</v>
      </c>
      <c r="AC144" s="24">
        <f t="shared" si="7"/>
        <v>0</v>
      </c>
      <c r="AD144" s="19"/>
    </row>
    <row r="145" ht="15.75" customHeight="1">
      <c r="B145" s="19"/>
      <c r="C145" s="20"/>
      <c r="D145" s="21"/>
      <c r="E145" s="22"/>
      <c r="F145" s="19"/>
      <c r="G145" s="23" t="str">
        <f t="array" ref="G145">IF(F145="","",IFERROR(INDEX(Clientas!$F$6:$F$55,MATCH(F145,Clientas!$C$6:$C$55,0)),""))</f>
        <v/>
      </c>
      <c r="H145" s="19"/>
      <c r="I145" s="19"/>
      <c r="J145" s="19"/>
      <c r="K145" s="19"/>
      <c r="L145" s="24">
        <f>IF(OR(I145="",J145="",G145=""),0,IF(G145="Local",SUMIFS(Servicios!$F$6:$F$39,Servicios!$D$6:$D$39,I145,Servicios!$E$6:$E$39,J145),SUMIFS(Servicios!$G$6:$G$39,Servicios!$D$6:$D$39,I145,Servicios!$E$6:$E$39,J145)))</f>
        <v>0</v>
      </c>
      <c r="M145" s="25"/>
      <c r="N145" s="24">
        <f t="shared" si="1"/>
        <v>0</v>
      </c>
      <c r="O145" s="25"/>
      <c r="P145" s="25"/>
      <c r="Q145" s="25"/>
      <c r="R145" s="24">
        <f t="shared" si="2"/>
        <v>0</v>
      </c>
      <c r="S145" s="24">
        <f t="shared" si="3"/>
        <v>0</v>
      </c>
      <c r="T145" s="19"/>
      <c r="U145" s="19"/>
      <c r="V145" s="19"/>
      <c r="W145" s="26" t="str">
        <f t="array" ref="W145">IF(H145="","",IFERROR(INDEX(Manicuristas!$D$6:$D$9,MATCH(H145,Manicuristas!$C$6:$C$9,0)),0))</f>
        <v/>
      </c>
      <c r="X145" s="26" t="str">
        <f t="array" ref="X145">IF(H145="","",IFERROR(INDEX(Manicuristas!$E$6:$E$9,MATCH(H145,Manicuristas!$C$6:$C$9,0)),0))</f>
        <v/>
      </c>
      <c r="Y145" s="26" t="str">
        <f t="array" ref="Y145">IF(H145="","",IFERROR(INDEX(Manicuristas!$F$6:$F$9,MATCH(H145,Manicuristas!$C$6:$C$9,0)),0))</f>
        <v/>
      </c>
      <c r="Z145" s="24">
        <f t="shared" si="4"/>
        <v>0</v>
      </c>
      <c r="AA145" s="24">
        <f t="shared" si="5"/>
        <v>0</v>
      </c>
      <c r="AB145" s="24">
        <f t="shared" si="6"/>
        <v>0</v>
      </c>
      <c r="AC145" s="24">
        <f t="shared" si="7"/>
        <v>0</v>
      </c>
      <c r="AD145" s="19"/>
    </row>
    <row r="146" ht="15.75" customHeight="1">
      <c r="B146" s="19"/>
      <c r="C146" s="20"/>
      <c r="D146" s="21"/>
      <c r="E146" s="22"/>
      <c r="F146" s="19"/>
      <c r="G146" s="23" t="str">
        <f t="array" ref="G146">IF(F146="","",IFERROR(INDEX(Clientas!$F$6:$F$55,MATCH(F146,Clientas!$C$6:$C$55,0)),""))</f>
        <v/>
      </c>
      <c r="H146" s="19"/>
      <c r="I146" s="19"/>
      <c r="J146" s="19"/>
      <c r="K146" s="19"/>
      <c r="L146" s="24">
        <f>IF(OR(I146="",J146="",G146=""),0,IF(G146="Local",SUMIFS(Servicios!$F$6:$F$39,Servicios!$D$6:$D$39,I146,Servicios!$E$6:$E$39,J146),SUMIFS(Servicios!$G$6:$G$39,Servicios!$D$6:$D$39,I146,Servicios!$E$6:$E$39,J146)))</f>
        <v>0</v>
      </c>
      <c r="M146" s="25"/>
      <c r="N146" s="24">
        <f t="shared" si="1"/>
        <v>0</v>
      </c>
      <c r="O146" s="25"/>
      <c r="P146" s="25"/>
      <c r="Q146" s="25"/>
      <c r="R146" s="24">
        <f t="shared" si="2"/>
        <v>0</v>
      </c>
      <c r="S146" s="24">
        <f t="shared" si="3"/>
        <v>0</v>
      </c>
      <c r="T146" s="19"/>
      <c r="U146" s="19"/>
      <c r="V146" s="19"/>
      <c r="W146" s="26" t="str">
        <f t="array" ref="W146">IF(H146="","",IFERROR(INDEX(Manicuristas!$D$6:$D$9,MATCH(H146,Manicuristas!$C$6:$C$9,0)),0))</f>
        <v/>
      </c>
      <c r="X146" s="26" t="str">
        <f t="array" ref="X146">IF(H146="","",IFERROR(INDEX(Manicuristas!$E$6:$E$9,MATCH(H146,Manicuristas!$C$6:$C$9,0)),0))</f>
        <v/>
      </c>
      <c r="Y146" s="26" t="str">
        <f t="array" ref="Y146">IF(H146="","",IFERROR(INDEX(Manicuristas!$F$6:$F$9,MATCH(H146,Manicuristas!$C$6:$C$9,0)),0))</f>
        <v/>
      </c>
      <c r="Z146" s="24">
        <f t="shared" si="4"/>
        <v>0</v>
      </c>
      <c r="AA146" s="24">
        <f t="shared" si="5"/>
        <v>0</v>
      </c>
      <c r="AB146" s="24">
        <f t="shared" si="6"/>
        <v>0</v>
      </c>
      <c r="AC146" s="24">
        <f t="shared" si="7"/>
        <v>0</v>
      </c>
      <c r="AD146" s="19"/>
    </row>
    <row r="147" ht="15.75" customHeight="1">
      <c r="B147" s="19"/>
      <c r="C147" s="20"/>
      <c r="D147" s="21"/>
      <c r="E147" s="22"/>
      <c r="F147" s="19"/>
      <c r="G147" s="23" t="str">
        <f t="array" ref="G147">IF(F147="","",IFERROR(INDEX(Clientas!$F$6:$F$55,MATCH(F147,Clientas!$C$6:$C$55,0)),""))</f>
        <v/>
      </c>
      <c r="H147" s="19"/>
      <c r="I147" s="19"/>
      <c r="J147" s="19"/>
      <c r="K147" s="19"/>
      <c r="L147" s="24">
        <f>IF(OR(I147="",J147="",G147=""),0,IF(G147="Local",SUMIFS(Servicios!$F$6:$F$39,Servicios!$D$6:$D$39,I147,Servicios!$E$6:$E$39,J147),SUMIFS(Servicios!$G$6:$G$39,Servicios!$D$6:$D$39,I147,Servicios!$E$6:$E$39,J147)))</f>
        <v>0</v>
      </c>
      <c r="M147" s="25"/>
      <c r="N147" s="24">
        <f t="shared" si="1"/>
        <v>0</v>
      </c>
      <c r="O147" s="25"/>
      <c r="P147" s="25"/>
      <c r="Q147" s="25"/>
      <c r="R147" s="24">
        <f t="shared" si="2"/>
        <v>0</v>
      </c>
      <c r="S147" s="24">
        <f t="shared" si="3"/>
        <v>0</v>
      </c>
      <c r="T147" s="19"/>
      <c r="U147" s="19"/>
      <c r="V147" s="19"/>
      <c r="W147" s="26" t="str">
        <f t="array" ref="W147">IF(H147="","",IFERROR(INDEX(Manicuristas!$D$6:$D$9,MATCH(H147,Manicuristas!$C$6:$C$9,0)),0))</f>
        <v/>
      </c>
      <c r="X147" s="26" t="str">
        <f t="array" ref="X147">IF(H147="","",IFERROR(INDEX(Manicuristas!$E$6:$E$9,MATCH(H147,Manicuristas!$C$6:$C$9,0)),0))</f>
        <v/>
      </c>
      <c r="Y147" s="26" t="str">
        <f t="array" ref="Y147">IF(H147="","",IFERROR(INDEX(Manicuristas!$F$6:$F$9,MATCH(H147,Manicuristas!$C$6:$C$9,0)),0))</f>
        <v/>
      </c>
      <c r="Z147" s="24">
        <f t="shared" si="4"/>
        <v>0</v>
      </c>
      <c r="AA147" s="24">
        <f t="shared" si="5"/>
        <v>0</v>
      </c>
      <c r="AB147" s="24">
        <f t="shared" si="6"/>
        <v>0</v>
      </c>
      <c r="AC147" s="24">
        <f t="shared" si="7"/>
        <v>0</v>
      </c>
      <c r="AD147" s="19"/>
    </row>
    <row r="148" ht="15.75" customHeight="1">
      <c r="B148" s="19"/>
      <c r="C148" s="20"/>
      <c r="D148" s="21"/>
      <c r="E148" s="22"/>
      <c r="F148" s="19"/>
      <c r="G148" s="23" t="str">
        <f t="array" ref="G148">IF(F148="","",IFERROR(INDEX(Clientas!$F$6:$F$55,MATCH(F148,Clientas!$C$6:$C$55,0)),""))</f>
        <v/>
      </c>
      <c r="H148" s="19"/>
      <c r="I148" s="19"/>
      <c r="J148" s="19"/>
      <c r="K148" s="19"/>
      <c r="L148" s="24">
        <f>IF(OR(I148="",J148="",G148=""),0,IF(G148="Local",SUMIFS(Servicios!$F$6:$F$39,Servicios!$D$6:$D$39,I148,Servicios!$E$6:$E$39,J148),SUMIFS(Servicios!$G$6:$G$39,Servicios!$D$6:$D$39,I148,Servicios!$E$6:$E$39,J148)))</f>
        <v>0</v>
      </c>
      <c r="M148" s="25"/>
      <c r="N148" s="24">
        <f t="shared" si="1"/>
        <v>0</v>
      </c>
      <c r="O148" s="25"/>
      <c r="P148" s="25"/>
      <c r="Q148" s="25"/>
      <c r="R148" s="24">
        <f t="shared" si="2"/>
        <v>0</v>
      </c>
      <c r="S148" s="24">
        <f t="shared" si="3"/>
        <v>0</v>
      </c>
      <c r="T148" s="19"/>
      <c r="U148" s="19"/>
      <c r="V148" s="19"/>
      <c r="W148" s="26" t="str">
        <f t="array" ref="W148">IF(H148="","",IFERROR(INDEX(Manicuristas!$D$6:$D$9,MATCH(H148,Manicuristas!$C$6:$C$9,0)),0))</f>
        <v/>
      </c>
      <c r="X148" s="26" t="str">
        <f t="array" ref="X148">IF(H148="","",IFERROR(INDEX(Manicuristas!$E$6:$E$9,MATCH(H148,Manicuristas!$C$6:$C$9,0)),0))</f>
        <v/>
      </c>
      <c r="Y148" s="26" t="str">
        <f t="array" ref="Y148">IF(H148="","",IFERROR(INDEX(Manicuristas!$F$6:$F$9,MATCH(H148,Manicuristas!$C$6:$C$9,0)),0))</f>
        <v/>
      </c>
      <c r="Z148" s="24">
        <f t="shared" si="4"/>
        <v>0</v>
      </c>
      <c r="AA148" s="24">
        <f t="shared" si="5"/>
        <v>0</v>
      </c>
      <c r="AB148" s="24">
        <f t="shared" si="6"/>
        <v>0</v>
      </c>
      <c r="AC148" s="24">
        <f t="shared" si="7"/>
        <v>0</v>
      </c>
      <c r="AD148" s="19"/>
    </row>
    <row r="149" ht="15.75" customHeight="1">
      <c r="B149" s="19"/>
      <c r="C149" s="20"/>
      <c r="D149" s="21"/>
      <c r="E149" s="22"/>
      <c r="F149" s="19"/>
      <c r="G149" s="23" t="str">
        <f t="array" ref="G149">IF(F149="","",IFERROR(INDEX(Clientas!$F$6:$F$55,MATCH(F149,Clientas!$C$6:$C$55,0)),""))</f>
        <v/>
      </c>
      <c r="H149" s="19"/>
      <c r="I149" s="19"/>
      <c r="J149" s="19"/>
      <c r="K149" s="19"/>
      <c r="L149" s="24">
        <f>IF(OR(I149="",J149="",G149=""),0,IF(G149="Local",SUMIFS(Servicios!$F$6:$F$39,Servicios!$D$6:$D$39,I149,Servicios!$E$6:$E$39,J149),SUMIFS(Servicios!$G$6:$G$39,Servicios!$D$6:$D$39,I149,Servicios!$E$6:$E$39,J149)))</f>
        <v>0</v>
      </c>
      <c r="M149" s="25"/>
      <c r="N149" s="24">
        <f t="shared" si="1"/>
        <v>0</v>
      </c>
      <c r="O149" s="25"/>
      <c r="P149" s="25"/>
      <c r="Q149" s="25"/>
      <c r="R149" s="24">
        <f t="shared" si="2"/>
        <v>0</v>
      </c>
      <c r="S149" s="24">
        <f t="shared" si="3"/>
        <v>0</v>
      </c>
      <c r="T149" s="19"/>
      <c r="U149" s="19"/>
      <c r="V149" s="19"/>
      <c r="W149" s="26" t="str">
        <f t="array" ref="W149">IF(H149="","",IFERROR(INDEX(Manicuristas!$D$6:$D$9,MATCH(H149,Manicuristas!$C$6:$C$9,0)),0))</f>
        <v/>
      </c>
      <c r="X149" s="26" t="str">
        <f t="array" ref="X149">IF(H149="","",IFERROR(INDEX(Manicuristas!$E$6:$E$9,MATCH(H149,Manicuristas!$C$6:$C$9,0)),0))</f>
        <v/>
      </c>
      <c r="Y149" s="26" t="str">
        <f t="array" ref="Y149">IF(H149="","",IFERROR(INDEX(Manicuristas!$F$6:$F$9,MATCH(H149,Manicuristas!$C$6:$C$9,0)),0))</f>
        <v/>
      </c>
      <c r="Z149" s="24">
        <f t="shared" si="4"/>
        <v>0</v>
      </c>
      <c r="AA149" s="24">
        <f t="shared" si="5"/>
        <v>0</v>
      </c>
      <c r="AB149" s="24">
        <f t="shared" si="6"/>
        <v>0</v>
      </c>
      <c r="AC149" s="24">
        <f t="shared" si="7"/>
        <v>0</v>
      </c>
      <c r="AD149" s="19"/>
    </row>
    <row r="150" ht="15.75" customHeight="1">
      <c r="B150" s="19"/>
      <c r="C150" s="20"/>
      <c r="D150" s="21"/>
      <c r="E150" s="22"/>
      <c r="F150" s="19"/>
      <c r="G150" s="23" t="str">
        <f t="array" ref="G150">IF(F150="","",IFERROR(INDEX(Clientas!$F$6:$F$55,MATCH(F150,Clientas!$C$6:$C$55,0)),""))</f>
        <v/>
      </c>
      <c r="H150" s="19"/>
      <c r="I150" s="19"/>
      <c r="J150" s="19"/>
      <c r="K150" s="19"/>
      <c r="L150" s="24">
        <f>IF(OR(I150="",J150="",G150=""),0,IF(G150="Local",SUMIFS(Servicios!$F$6:$F$39,Servicios!$D$6:$D$39,I150,Servicios!$E$6:$E$39,J150),SUMIFS(Servicios!$G$6:$G$39,Servicios!$D$6:$D$39,I150,Servicios!$E$6:$E$39,J150)))</f>
        <v>0</v>
      </c>
      <c r="M150" s="25"/>
      <c r="N150" s="24">
        <f t="shared" si="1"/>
        <v>0</v>
      </c>
      <c r="O150" s="25"/>
      <c r="P150" s="25"/>
      <c r="Q150" s="25"/>
      <c r="R150" s="24">
        <f t="shared" si="2"/>
        <v>0</v>
      </c>
      <c r="S150" s="24">
        <f t="shared" si="3"/>
        <v>0</v>
      </c>
      <c r="T150" s="19"/>
      <c r="U150" s="19"/>
      <c r="V150" s="19"/>
      <c r="W150" s="26" t="str">
        <f t="array" ref="W150">IF(H150="","",IFERROR(INDEX(Manicuristas!$D$6:$D$9,MATCH(H150,Manicuristas!$C$6:$C$9,0)),0))</f>
        <v/>
      </c>
      <c r="X150" s="26" t="str">
        <f t="array" ref="X150">IF(H150="","",IFERROR(INDEX(Manicuristas!$E$6:$E$9,MATCH(H150,Manicuristas!$C$6:$C$9,0)),0))</f>
        <v/>
      </c>
      <c r="Y150" s="26" t="str">
        <f t="array" ref="Y150">IF(H150="","",IFERROR(INDEX(Manicuristas!$F$6:$F$9,MATCH(H150,Manicuristas!$C$6:$C$9,0)),0))</f>
        <v/>
      </c>
      <c r="Z150" s="24">
        <f t="shared" si="4"/>
        <v>0</v>
      </c>
      <c r="AA150" s="24">
        <f t="shared" si="5"/>
        <v>0</v>
      </c>
      <c r="AB150" s="24">
        <f t="shared" si="6"/>
        <v>0</v>
      </c>
      <c r="AC150" s="24">
        <f t="shared" si="7"/>
        <v>0</v>
      </c>
      <c r="AD150" s="19"/>
    </row>
    <row r="151" ht="15.75" customHeight="1">
      <c r="B151" s="19"/>
      <c r="C151" s="20"/>
      <c r="D151" s="21"/>
      <c r="E151" s="22"/>
      <c r="F151" s="19"/>
      <c r="G151" s="23" t="str">
        <f t="array" ref="G151">IF(F151="","",IFERROR(INDEX(Clientas!$F$6:$F$55,MATCH(F151,Clientas!$C$6:$C$55,0)),""))</f>
        <v/>
      </c>
      <c r="H151" s="19"/>
      <c r="I151" s="19"/>
      <c r="J151" s="19"/>
      <c r="K151" s="19"/>
      <c r="L151" s="24">
        <f>IF(OR(I151="",J151="",G151=""),0,IF(G151="Local",SUMIFS(Servicios!$F$6:$F$39,Servicios!$D$6:$D$39,I151,Servicios!$E$6:$E$39,J151),SUMIFS(Servicios!$G$6:$G$39,Servicios!$D$6:$D$39,I151,Servicios!$E$6:$E$39,J151)))</f>
        <v>0</v>
      </c>
      <c r="M151" s="25"/>
      <c r="N151" s="24">
        <f t="shared" si="1"/>
        <v>0</v>
      </c>
      <c r="O151" s="25"/>
      <c r="P151" s="25"/>
      <c r="Q151" s="25"/>
      <c r="R151" s="24">
        <f t="shared" si="2"/>
        <v>0</v>
      </c>
      <c r="S151" s="24">
        <f t="shared" si="3"/>
        <v>0</v>
      </c>
      <c r="T151" s="19"/>
      <c r="U151" s="19"/>
      <c r="V151" s="19"/>
      <c r="W151" s="26" t="str">
        <f t="array" ref="W151">IF(H151="","",IFERROR(INDEX(Manicuristas!$D$6:$D$9,MATCH(H151,Manicuristas!$C$6:$C$9,0)),0))</f>
        <v/>
      </c>
      <c r="X151" s="26" t="str">
        <f t="array" ref="X151">IF(H151="","",IFERROR(INDEX(Manicuristas!$E$6:$E$9,MATCH(H151,Manicuristas!$C$6:$C$9,0)),0))</f>
        <v/>
      </c>
      <c r="Y151" s="26" t="str">
        <f t="array" ref="Y151">IF(H151="","",IFERROR(INDEX(Manicuristas!$F$6:$F$9,MATCH(H151,Manicuristas!$C$6:$C$9,0)),0))</f>
        <v/>
      </c>
      <c r="Z151" s="24">
        <f t="shared" si="4"/>
        <v>0</v>
      </c>
      <c r="AA151" s="24">
        <f t="shared" si="5"/>
        <v>0</v>
      </c>
      <c r="AB151" s="24">
        <f t="shared" si="6"/>
        <v>0</v>
      </c>
      <c r="AC151" s="24">
        <f t="shared" si="7"/>
        <v>0</v>
      </c>
      <c r="AD151" s="19"/>
    </row>
    <row r="152" ht="15.75" customHeight="1">
      <c r="B152" s="19"/>
      <c r="C152" s="20"/>
      <c r="D152" s="21"/>
      <c r="E152" s="22"/>
      <c r="F152" s="19"/>
      <c r="G152" s="23" t="str">
        <f t="array" ref="G152">IF(F152="","",IFERROR(INDEX(Clientas!$F$6:$F$55,MATCH(F152,Clientas!$C$6:$C$55,0)),""))</f>
        <v/>
      </c>
      <c r="H152" s="19"/>
      <c r="I152" s="19"/>
      <c r="J152" s="19"/>
      <c r="K152" s="19"/>
      <c r="L152" s="24">
        <f>IF(OR(I152="",J152="",G152=""),0,IF(G152="Local",SUMIFS(Servicios!$F$6:$F$39,Servicios!$D$6:$D$39,I152,Servicios!$E$6:$E$39,J152),SUMIFS(Servicios!$G$6:$G$39,Servicios!$D$6:$D$39,I152,Servicios!$E$6:$E$39,J152)))</f>
        <v>0</v>
      </c>
      <c r="M152" s="25"/>
      <c r="N152" s="24">
        <f t="shared" si="1"/>
        <v>0</v>
      </c>
      <c r="O152" s="25"/>
      <c r="P152" s="25"/>
      <c r="Q152" s="25"/>
      <c r="R152" s="24">
        <f t="shared" si="2"/>
        <v>0</v>
      </c>
      <c r="S152" s="24">
        <f t="shared" si="3"/>
        <v>0</v>
      </c>
      <c r="T152" s="19"/>
      <c r="U152" s="19"/>
      <c r="V152" s="19"/>
      <c r="W152" s="26" t="str">
        <f t="array" ref="W152">IF(H152="","",IFERROR(INDEX(Manicuristas!$D$6:$D$9,MATCH(H152,Manicuristas!$C$6:$C$9,0)),0))</f>
        <v/>
      </c>
      <c r="X152" s="26" t="str">
        <f t="array" ref="X152">IF(H152="","",IFERROR(INDEX(Manicuristas!$E$6:$E$9,MATCH(H152,Manicuristas!$C$6:$C$9,0)),0))</f>
        <v/>
      </c>
      <c r="Y152" s="26" t="str">
        <f t="array" ref="Y152">IF(H152="","",IFERROR(INDEX(Manicuristas!$F$6:$F$9,MATCH(H152,Manicuristas!$C$6:$C$9,0)),0))</f>
        <v/>
      </c>
      <c r="Z152" s="24">
        <f t="shared" si="4"/>
        <v>0</v>
      </c>
      <c r="AA152" s="24">
        <f t="shared" si="5"/>
        <v>0</v>
      </c>
      <c r="AB152" s="24">
        <f t="shared" si="6"/>
        <v>0</v>
      </c>
      <c r="AC152" s="24">
        <f t="shared" si="7"/>
        <v>0</v>
      </c>
      <c r="AD152" s="19"/>
    </row>
    <row r="153" ht="15.75" customHeight="1">
      <c r="B153" s="19"/>
      <c r="C153" s="20"/>
      <c r="D153" s="21"/>
      <c r="E153" s="22"/>
      <c r="F153" s="19"/>
      <c r="G153" s="23" t="str">
        <f t="array" ref="G153">IF(F153="","",IFERROR(INDEX(Clientas!$F$6:$F$55,MATCH(F153,Clientas!$C$6:$C$55,0)),""))</f>
        <v/>
      </c>
      <c r="H153" s="19"/>
      <c r="I153" s="19"/>
      <c r="J153" s="19"/>
      <c r="K153" s="19"/>
      <c r="L153" s="24">
        <f>IF(OR(I153="",J153="",G153=""),0,IF(G153="Local",SUMIFS(Servicios!$F$6:$F$39,Servicios!$D$6:$D$39,I153,Servicios!$E$6:$E$39,J153),SUMIFS(Servicios!$G$6:$G$39,Servicios!$D$6:$D$39,I153,Servicios!$E$6:$E$39,J153)))</f>
        <v>0</v>
      </c>
      <c r="M153" s="25"/>
      <c r="N153" s="24">
        <f t="shared" si="1"/>
        <v>0</v>
      </c>
      <c r="O153" s="25"/>
      <c r="P153" s="25"/>
      <c r="Q153" s="25"/>
      <c r="R153" s="24">
        <f t="shared" si="2"/>
        <v>0</v>
      </c>
      <c r="S153" s="24">
        <f t="shared" si="3"/>
        <v>0</v>
      </c>
      <c r="T153" s="19"/>
      <c r="U153" s="19"/>
      <c r="V153" s="19"/>
      <c r="W153" s="26" t="str">
        <f t="array" ref="W153">IF(H153="","",IFERROR(INDEX(Manicuristas!$D$6:$D$9,MATCH(H153,Manicuristas!$C$6:$C$9,0)),0))</f>
        <v/>
      </c>
      <c r="X153" s="26" t="str">
        <f t="array" ref="X153">IF(H153="","",IFERROR(INDEX(Manicuristas!$E$6:$E$9,MATCH(H153,Manicuristas!$C$6:$C$9,0)),0))</f>
        <v/>
      </c>
      <c r="Y153" s="26" t="str">
        <f t="array" ref="Y153">IF(H153="","",IFERROR(INDEX(Manicuristas!$F$6:$F$9,MATCH(H153,Manicuristas!$C$6:$C$9,0)),0))</f>
        <v/>
      </c>
      <c r="Z153" s="24">
        <f t="shared" si="4"/>
        <v>0</v>
      </c>
      <c r="AA153" s="24">
        <f t="shared" si="5"/>
        <v>0</v>
      </c>
      <c r="AB153" s="24">
        <f t="shared" si="6"/>
        <v>0</v>
      </c>
      <c r="AC153" s="24">
        <f t="shared" si="7"/>
        <v>0</v>
      </c>
      <c r="AD153" s="19"/>
    </row>
    <row r="154" ht="15.75" customHeight="1">
      <c r="B154" s="19"/>
      <c r="C154" s="20"/>
      <c r="D154" s="21"/>
      <c r="E154" s="22"/>
      <c r="F154" s="19"/>
      <c r="G154" s="23" t="str">
        <f t="array" ref="G154">IF(F154="","",IFERROR(INDEX(Clientas!$F$6:$F$55,MATCH(F154,Clientas!$C$6:$C$55,0)),""))</f>
        <v/>
      </c>
      <c r="H154" s="19"/>
      <c r="I154" s="19"/>
      <c r="J154" s="19"/>
      <c r="K154" s="19"/>
      <c r="L154" s="24">
        <f>IF(OR(I154="",J154="",G154=""),0,IF(G154="Local",SUMIFS(Servicios!$F$6:$F$39,Servicios!$D$6:$D$39,I154,Servicios!$E$6:$E$39,J154),SUMIFS(Servicios!$G$6:$G$39,Servicios!$D$6:$D$39,I154,Servicios!$E$6:$E$39,J154)))</f>
        <v>0</v>
      </c>
      <c r="M154" s="25"/>
      <c r="N154" s="24">
        <f t="shared" si="1"/>
        <v>0</v>
      </c>
      <c r="O154" s="25"/>
      <c r="P154" s="25"/>
      <c r="Q154" s="25"/>
      <c r="R154" s="24">
        <f t="shared" si="2"/>
        <v>0</v>
      </c>
      <c r="S154" s="24">
        <f t="shared" si="3"/>
        <v>0</v>
      </c>
      <c r="T154" s="19"/>
      <c r="U154" s="19"/>
      <c r="V154" s="19"/>
      <c r="W154" s="26" t="str">
        <f t="array" ref="W154">IF(H154="","",IFERROR(INDEX(Manicuristas!$D$6:$D$9,MATCH(H154,Manicuristas!$C$6:$C$9,0)),0))</f>
        <v/>
      </c>
      <c r="X154" s="26" t="str">
        <f t="array" ref="X154">IF(H154="","",IFERROR(INDEX(Manicuristas!$E$6:$E$9,MATCH(H154,Manicuristas!$C$6:$C$9,0)),0))</f>
        <v/>
      </c>
      <c r="Y154" s="26" t="str">
        <f t="array" ref="Y154">IF(H154="","",IFERROR(INDEX(Manicuristas!$F$6:$F$9,MATCH(H154,Manicuristas!$C$6:$C$9,0)),0))</f>
        <v/>
      </c>
      <c r="Z154" s="24">
        <f t="shared" si="4"/>
        <v>0</v>
      </c>
      <c r="AA154" s="24">
        <f t="shared" si="5"/>
        <v>0</v>
      </c>
      <c r="AB154" s="24">
        <f t="shared" si="6"/>
        <v>0</v>
      </c>
      <c r="AC154" s="24">
        <f t="shared" si="7"/>
        <v>0</v>
      </c>
      <c r="AD154" s="19"/>
    </row>
    <row r="155" ht="15.75" customHeight="1">
      <c r="B155" s="19"/>
      <c r="C155" s="20"/>
      <c r="D155" s="21"/>
      <c r="E155" s="22"/>
      <c r="F155" s="19"/>
      <c r="G155" s="23" t="str">
        <f t="array" ref="G155">IF(F155="","",IFERROR(INDEX(Clientas!$F$6:$F$55,MATCH(F155,Clientas!$C$6:$C$55,0)),""))</f>
        <v/>
      </c>
      <c r="H155" s="19"/>
      <c r="I155" s="19"/>
      <c r="J155" s="19"/>
      <c r="K155" s="19"/>
      <c r="L155" s="24">
        <f>IF(OR(I155="",J155="",G155=""),0,IF(G155="Local",SUMIFS(Servicios!$F$6:$F$39,Servicios!$D$6:$D$39,I155,Servicios!$E$6:$E$39,J155),SUMIFS(Servicios!$G$6:$G$39,Servicios!$D$6:$D$39,I155,Servicios!$E$6:$E$39,J155)))</f>
        <v>0</v>
      </c>
      <c r="M155" s="25"/>
      <c r="N155" s="24">
        <f t="shared" si="1"/>
        <v>0</v>
      </c>
      <c r="O155" s="25"/>
      <c r="P155" s="25"/>
      <c r="Q155" s="25"/>
      <c r="R155" s="24">
        <f t="shared" si="2"/>
        <v>0</v>
      </c>
      <c r="S155" s="24">
        <f t="shared" si="3"/>
        <v>0</v>
      </c>
      <c r="T155" s="19"/>
      <c r="U155" s="19"/>
      <c r="V155" s="19"/>
      <c r="W155" s="26" t="str">
        <f t="array" ref="W155">IF(H155="","",IFERROR(INDEX(Manicuristas!$D$6:$D$9,MATCH(H155,Manicuristas!$C$6:$C$9,0)),0))</f>
        <v/>
      </c>
      <c r="X155" s="26" t="str">
        <f t="array" ref="X155">IF(H155="","",IFERROR(INDEX(Manicuristas!$E$6:$E$9,MATCH(H155,Manicuristas!$C$6:$C$9,0)),0))</f>
        <v/>
      </c>
      <c r="Y155" s="26" t="str">
        <f t="array" ref="Y155">IF(H155="","",IFERROR(INDEX(Manicuristas!$F$6:$F$9,MATCH(H155,Manicuristas!$C$6:$C$9,0)),0))</f>
        <v/>
      </c>
      <c r="Z155" s="24">
        <f t="shared" si="4"/>
        <v>0</v>
      </c>
      <c r="AA155" s="24">
        <f t="shared" si="5"/>
        <v>0</v>
      </c>
      <c r="AB155" s="24">
        <f t="shared" si="6"/>
        <v>0</v>
      </c>
      <c r="AC155" s="24">
        <f t="shared" si="7"/>
        <v>0</v>
      </c>
      <c r="AD155" s="19"/>
    </row>
    <row r="156" ht="15.75" customHeight="1">
      <c r="B156" s="19"/>
      <c r="C156" s="20"/>
      <c r="D156" s="21"/>
      <c r="E156" s="22"/>
      <c r="F156" s="19"/>
      <c r="G156" s="23" t="str">
        <f t="array" ref="G156">IF(F156="","",IFERROR(INDEX(Clientas!$F$6:$F$55,MATCH(F156,Clientas!$C$6:$C$55,0)),""))</f>
        <v/>
      </c>
      <c r="H156" s="19"/>
      <c r="I156" s="19"/>
      <c r="J156" s="19"/>
      <c r="K156" s="19"/>
      <c r="L156" s="24">
        <f>IF(OR(I156="",J156="",G156=""),0,IF(G156="Local",SUMIFS(Servicios!$F$6:$F$39,Servicios!$D$6:$D$39,I156,Servicios!$E$6:$E$39,J156),SUMIFS(Servicios!$G$6:$G$39,Servicios!$D$6:$D$39,I156,Servicios!$E$6:$E$39,J156)))</f>
        <v>0</v>
      </c>
      <c r="M156" s="25"/>
      <c r="N156" s="24">
        <f t="shared" si="1"/>
        <v>0</v>
      </c>
      <c r="O156" s="25"/>
      <c r="P156" s="25"/>
      <c r="Q156" s="25"/>
      <c r="R156" s="24">
        <f t="shared" si="2"/>
        <v>0</v>
      </c>
      <c r="S156" s="24">
        <f t="shared" si="3"/>
        <v>0</v>
      </c>
      <c r="T156" s="19"/>
      <c r="U156" s="19"/>
      <c r="V156" s="19"/>
      <c r="W156" s="26" t="str">
        <f t="array" ref="W156">IF(H156="","",IFERROR(INDEX(Manicuristas!$D$6:$D$9,MATCH(H156,Manicuristas!$C$6:$C$9,0)),0))</f>
        <v/>
      </c>
      <c r="X156" s="26" t="str">
        <f t="array" ref="X156">IF(H156="","",IFERROR(INDEX(Manicuristas!$E$6:$E$9,MATCH(H156,Manicuristas!$C$6:$C$9,0)),0))</f>
        <v/>
      </c>
      <c r="Y156" s="26" t="str">
        <f t="array" ref="Y156">IF(H156="","",IFERROR(INDEX(Manicuristas!$F$6:$F$9,MATCH(H156,Manicuristas!$C$6:$C$9,0)),0))</f>
        <v/>
      </c>
      <c r="Z156" s="24">
        <f t="shared" si="4"/>
        <v>0</v>
      </c>
      <c r="AA156" s="24">
        <f t="shared" si="5"/>
        <v>0</v>
      </c>
      <c r="AB156" s="24">
        <f t="shared" si="6"/>
        <v>0</v>
      </c>
      <c r="AC156" s="24">
        <f t="shared" si="7"/>
        <v>0</v>
      </c>
      <c r="AD156" s="19"/>
    </row>
    <row r="157" ht="15.75" customHeight="1">
      <c r="B157" s="19"/>
      <c r="C157" s="20"/>
      <c r="D157" s="21"/>
      <c r="E157" s="22"/>
      <c r="F157" s="19"/>
      <c r="G157" s="23" t="str">
        <f t="array" ref="G157">IF(F157="","",IFERROR(INDEX(Clientas!$F$6:$F$55,MATCH(F157,Clientas!$C$6:$C$55,0)),""))</f>
        <v/>
      </c>
      <c r="H157" s="19"/>
      <c r="I157" s="19"/>
      <c r="J157" s="19"/>
      <c r="K157" s="19"/>
      <c r="L157" s="24">
        <f>IF(OR(I157="",J157="",G157=""),0,IF(G157="Local",SUMIFS(Servicios!$F$6:$F$39,Servicios!$D$6:$D$39,I157,Servicios!$E$6:$E$39,J157),SUMIFS(Servicios!$G$6:$G$39,Servicios!$D$6:$D$39,I157,Servicios!$E$6:$E$39,J157)))</f>
        <v>0</v>
      </c>
      <c r="M157" s="25"/>
      <c r="N157" s="24">
        <f t="shared" si="1"/>
        <v>0</v>
      </c>
      <c r="O157" s="25"/>
      <c r="P157" s="25"/>
      <c r="Q157" s="25"/>
      <c r="R157" s="24">
        <f t="shared" si="2"/>
        <v>0</v>
      </c>
      <c r="S157" s="24">
        <f t="shared" si="3"/>
        <v>0</v>
      </c>
      <c r="T157" s="19"/>
      <c r="U157" s="19"/>
      <c r="V157" s="19"/>
      <c r="W157" s="26" t="str">
        <f t="array" ref="W157">IF(H157="","",IFERROR(INDEX(Manicuristas!$D$6:$D$9,MATCH(H157,Manicuristas!$C$6:$C$9,0)),0))</f>
        <v/>
      </c>
      <c r="X157" s="26" t="str">
        <f t="array" ref="X157">IF(H157="","",IFERROR(INDEX(Manicuristas!$E$6:$E$9,MATCH(H157,Manicuristas!$C$6:$C$9,0)),0))</f>
        <v/>
      </c>
      <c r="Y157" s="26" t="str">
        <f t="array" ref="Y157">IF(H157="","",IFERROR(INDEX(Manicuristas!$F$6:$F$9,MATCH(H157,Manicuristas!$C$6:$C$9,0)),0))</f>
        <v/>
      </c>
      <c r="Z157" s="24">
        <f t="shared" si="4"/>
        <v>0</v>
      </c>
      <c r="AA157" s="24">
        <f t="shared" si="5"/>
        <v>0</v>
      </c>
      <c r="AB157" s="24">
        <f t="shared" si="6"/>
        <v>0</v>
      </c>
      <c r="AC157" s="24">
        <f t="shared" si="7"/>
        <v>0</v>
      </c>
      <c r="AD157" s="19"/>
    </row>
    <row r="158" ht="15.75" customHeight="1">
      <c r="B158" s="19"/>
      <c r="C158" s="20"/>
      <c r="D158" s="21"/>
      <c r="E158" s="22"/>
      <c r="F158" s="19"/>
      <c r="G158" s="23" t="str">
        <f t="array" ref="G158">IF(F158="","",IFERROR(INDEX(Clientas!$F$6:$F$55,MATCH(F158,Clientas!$C$6:$C$55,0)),""))</f>
        <v/>
      </c>
      <c r="H158" s="19"/>
      <c r="I158" s="19"/>
      <c r="J158" s="19"/>
      <c r="K158" s="19"/>
      <c r="L158" s="24">
        <f>IF(OR(I158="",J158="",G158=""),0,IF(G158="Local",SUMIFS(Servicios!$F$6:$F$39,Servicios!$D$6:$D$39,I158,Servicios!$E$6:$E$39,J158),SUMIFS(Servicios!$G$6:$G$39,Servicios!$D$6:$D$39,I158,Servicios!$E$6:$E$39,J158)))</f>
        <v>0</v>
      </c>
      <c r="M158" s="25"/>
      <c r="N158" s="24">
        <f t="shared" si="1"/>
        <v>0</v>
      </c>
      <c r="O158" s="25"/>
      <c r="P158" s="25"/>
      <c r="Q158" s="25"/>
      <c r="R158" s="24">
        <f t="shared" si="2"/>
        <v>0</v>
      </c>
      <c r="S158" s="24">
        <f t="shared" si="3"/>
        <v>0</v>
      </c>
      <c r="T158" s="19"/>
      <c r="U158" s="19"/>
      <c r="V158" s="19"/>
      <c r="W158" s="26" t="str">
        <f t="array" ref="W158">IF(H158="","",IFERROR(INDEX(Manicuristas!$D$6:$D$9,MATCH(H158,Manicuristas!$C$6:$C$9,0)),0))</f>
        <v/>
      </c>
      <c r="X158" s="26" t="str">
        <f t="array" ref="X158">IF(H158="","",IFERROR(INDEX(Manicuristas!$E$6:$E$9,MATCH(H158,Manicuristas!$C$6:$C$9,0)),0))</f>
        <v/>
      </c>
      <c r="Y158" s="26" t="str">
        <f t="array" ref="Y158">IF(H158="","",IFERROR(INDEX(Manicuristas!$F$6:$F$9,MATCH(H158,Manicuristas!$C$6:$C$9,0)),0))</f>
        <v/>
      </c>
      <c r="Z158" s="24">
        <f t="shared" si="4"/>
        <v>0</v>
      </c>
      <c r="AA158" s="24">
        <f t="shared" si="5"/>
        <v>0</v>
      </c>
      <c r="AB158" s="24">
        <f t="shared" si="6"/>
        <v>0</v>
      </c>
      <c r="AC158" s="24">
        <f t="shared" si="7"/>
        <v>0</v>
      </c>
      <c r="AD158" s="19"/>
    </row>
    <row r="159" ht="15.75" customHeight="1">
      <c r="B159" s="19"/>
      <c r="C159" s="20"/>
      <c r="D159" s="21"/>
      <c r="E159" s="22"/>
      <c r="F159" s="19"/>
      <c r="G159" s="23" t="str">
        <f t="array" ref="G159">IF(F159="","",IFERROR(INDEX(Clientas!$F$6:$F$55,MATCH(F159,Clientas!$C$6:$C$55,0)),""))</f>
        <v/>
      </c>
      <c r="H159" s="19"/>
      <c r="I159" s="19"/>
      <c r="J159" s="19"/>
      <c r="K159" s="19"/>
      <c r="L159" s="24">
        <f>IF(OR(I159="",J159="",G159=""),0,IF(G159="Local",SUMIFS(Servicios!$F$6:$F$39,Servicios!$D$6:$D$39,I159,Servicios!$E$6:$E$39,J159),SUMIFS(Servicios!$G$6:$G$39,Servicios!$D$6:$D$39,I159,Servicios!$E$6:$E$39,J159)))</f>
        <v>0</v>
      </c>
      <c r="M159" s="25"/>
      <c r="N159" s="24">
        <f t="shared" si="1"/>
        <v>0</v>
      </c>
      <c r="O159" s="25"/>
      <c r="P159" s="25"/>
      <c r="Q159" s="25"/>
      <c r="R159" s="24">
        <f t="shared" si="2"/>
        <v>0</v>
      </c>
      <c r="S159" s="24">
        <f t="shared" si="3"/>
        <v>0</v>
      </c>
      <c r="T159" s="19"/>
      <c r="U159" s="19"/>
      <c r="V159" s="19"/>
      <c r="W159" s="26" t="str">
        <f t="array" ref="W159">IF(H159="","",IFERROR(INDEX(Manicuristas!$D$6:$D$9,MATCH(H159,Manicuristas!$C$6:$C$9,0)),0))</f>
        <v/>
      </c>
      <c r="X159" s="26" t="str">
        <f t="array" ref="X159">IF(H159="","",IFERROR(INDEX(Manicuristas!$E$6:$E$9,MATCH(H159,Manicuristas!$C$6:$C$9,0)),0))</f>
        <v/>
      </c>
      <c r="Y159" s="26" t="str">
        <f t="array" ref="Y159">IF(H159="","",IFERROR(INDEX(Manicuristas!$F$6:$F$9,MATCH(H159,Manicuristas!$C$6:$C$9,0)),0))</f>
        <v/>
      </c>
      <c r="Z159" s="24">
        <f t="shared" si="4"/>
        <v>0</v>
      </c>
      <c r="AA159" s="24">
        <f t="shared" si="5"/>
        <v>0</v>
      </c>
      <c r="AB159" s="24">
        <f t="shared" si="6"/>
        <v>0</v>
      </c>
      <c r="AC159" s="24">
        <f t="shared" si="7"/>
        <v>0</v>
      </c>
      <c r="AD159" s="19"/>
    </row>
    <row r="160" ht="15.75" customHeight="1">
      <c r="B160" s="19"/>
      <c r="C160" s="20"/>
      <c r="D160" s="21"/>
      <c r="E160" s="22"/>
      <c r="F160" s="19"/>
      <c r="G160" s="23" t="str">
        <f t="array" ref="G160">IF(F160="","",IFERROR(INDEX(Clientas!$F$6:$F$55,MATCH(F160,Clientas!$C$6:$C$55,0)),""))</f>
        <v/>
      </c>
      <c r="H160" s="19"/>
      <c r="I160" s="19"/>
      <c r="J160" s="19"/>
      <c r="K160" s="19"/>
      <c r="L160" s="24">
        <f>IF(OR(I160="",J160="",G160=""),0,IF(G160="Local",SUMIFS(Servicios!$F$6:$F$39,Servicios!$D$6:$D$39,I160,Servicios!$E$6:$E$39,J160),SUMIFS(Servicios!$G$6:$G$39,Servicios!$D$6:$D$39,I160,Servicios!$E$6:$E$39,J160)))</f>
        <v>0</v>
      </c>
      <c r="M160" s="25"/>
      <c r="N160" s="24">
        <f t="shared" si="1"/>
        <v>0</v>
      </c>
      <c r="O160" s="25"/>
      <c r="P160" s="25"/>
      <c r="Q160" s="25"/>
      <c r="R160" s="24">
        <f t="shared" si="2"/>
        <v>0</v>
      </c>
      <c r="S160" s="24">
        <f t="shared" si="3"/>
        <v>0</v>
      </c>
      <c r="T160" s="19"/>
      <c r="U160" s="19"/>
      <c r="V160" s="19"/>
      <c r="W160" s="26" t="str">
        <f t="array" ref="W160">IF(H160="","",IFERROR(INDEX(Manicuristas!$D$6:$D$9,MATCH(H160,Manicuristas!$C$6:$C$9,0)),0))</f>
        <v/>
      </c>
      <c r="X160" s="26" t="str">
        <f t="array" ref="X160">IF(H160="","",IFERROR(INDEX(Manicuristas!$E$6:$E$9,MATCH(H160,Manicuristas!$C$6:$C$9,0)),0))</f>
        <v/>
      </c>
      <c r="Y160" s="26" t="str">
        <f t="array" ref="Y160">IF(H160="","",IFERROR(INDEX(Manicuristas!$F$6:$F$9,MATCH(H160,Manicuristas!$C$6:$C$9,0)),0))</f>
        <v/>
      </c>
      <c r="Z160" s="24">
        <f t="shared" si="4"/>
        <v>0</v>
      </c>
      <c r="AA160" s="24">
        <f t="shared" si="5"/>
        <v>0</v>
      </c>
      <c r="AB160" s="24">
        <f t="shared" si="6"/>
        <v>0</v>
      </c>
      <c r="AC160" s="24">
        <f t="shared" si="7"/>
        <v>0</v>
      </c>
      <c r="AD160" s="19"/>
    </row>
    <row r="161" ht="15.75" customHeight="1">
      <c r="B161" s="19"/>
      <c r="C161" s="20"/>
      <c r="D161" s="21"/>
      <c r="E161" s="22"/>
      <c r="F161" s="19"/>
      <c r="G161" s="23" t="str">
        <f t="array" ref="G161">IF(F161="","",IFERROR(INDEX(Clientas!$F$6:$F$55,MATCH(F161,Clientas!$C$6:$C$55,0)),""))</f>
        <v/>
      </c>
      <c r="H161" s="19"/>
      <c r="I161" s="19"/>
      <c r="J161" s="19"/>
      <c r="K161" s="19"/>
      <c r="L161" s="24">
        <f>IF(OR(I161="",J161="",G161=""),0,IF(G161="Local",SUMIFS(Servicios!$F$6:$F$39,Servicios!$D$6:$D$39,I161,Servicios!$E$6:$E$39,J161),SUMIFS(Servicios!$G$6:$G$39,Servicios!$D$6:$D$39,I161,Servicios!$E$6:$E$39,J161)))</f>
        <v>0</v>
      </c>
      <c r="M161" s="25"/>
      <c r="N161" s="24">
        <f t="shared" si="1"/>
        <v>0</v>
      </c>
      <c r="O161" s="25"/>
      <c r="P161" s="25"/>
      <c r="Q161" s="25"/>
      <c r="R161" s="24">
        <f t="shared" si="2"/>
        <v>0</v>
      </c>
      <c r="S161" s="24">
        <f t="shared" si="3"/>
        <v>0</v>
      </c>
      <c r="T161" s="19"/>
      <c r="U161" s="19"/>
      <c r="V161" s="19"/>
      <c r="W161" s="26" t="str">
        <f t="array" ref="W161">IF(H161="","",IFERROR(INDEX(Manicuristas!$D$6:$D$9,MATCH(H161,Manicuristas!$C$6:$C$9,0)),0))</f>
        <v/>
      </c>
      <c r="X161" s="26" t="str">
        <f t="array" ref="X161">IF(H161="","",IFERROR(INDEX(Manicuristas!$E$6:$E$9,MATCH(H161,Manicuristas!$C$6:$C$9,0)),0))</f>
        <v/>
      </c>
      <c r="Y161" s="26" t="str">
        <f t="array" ref="Y161">IF(H161="","",IFERROR(INDEX(Manicuristas!$F$6:$F$9,MATCH(H161,Manicuristas!$C$6:$C$9,0)),0))</f>
        <v/>
      </c>
      <c r="Z161" s="24">
        <f t="shared" si="4"/>
        <v>0</v>
      </c>
      <c r="AA161" s="24">
        <f t="shared" si="5"/>
        <v>0</v>
      </c>
      <c r="AB161" s="24">
        <f t="shared" si="6"/>
        <v>0</v>
      </c>
      <c r="AC161" s="24">
        <f t="shared" si="7"/>
        <v>0</v>
      </c>
      <c r="AD161" s="19"/>
    </row>
    <row r="162" ht="15.75" customHeight="1">
      <c r="B162" s="19"/>
      <c r="C162" s="20"/>
      <c r="D162" s="21"/>
      <c r="E162" s="22"/>
      <c r="F162" s="19"/>
      <c r="G162" s="23" t="str">
        <f t="array" ref="G162">IF(F162="","",IFERROR(INDEX(Clientas!$F$6:$F$55,MATCH(F162,Clientas!$C$6:$C$55,0)),""))</f>
        <v/>
      </c>
      <c r="H162" s="19"/>
      <c r="I162" s="19"/>
      <c r="J162" s="19"/>
      <c r="K162" s="19"/>
      <c r="L162" s="24">
        <f>IF(OR(I162="",J162="",G162=""),0,IF(G162="Local",SUMIFS(Servicios!$F$6:$F$39,Servicios!$D$6:$D$39,I162,Servicios!$E$6:$E$39,J162),SUMIFS(Servicios!$G$6:$G$39,Servicios!$D$6:$D$39,I162,Servicios!$E$6:$E$39,J162)))</f>
        <v>0</v>
      </c>
      <c r="M162" s="25"/>
      <c r="N162" s="24">
        <f t="shared" si="1"/>
        <v>0</v>
      </c>
      <c r="O162" s="25"/>
      <c r="P162" s="25"/>
      <c r="Q162" s="25"/>
      <c r="R162" s="24">
        <f t="shared" si="2"/>
        <v>0</v>
      </c>
      <c r="S162" s="24">
        <f t="shared" si="3"/>
        <v>0</v>
      </c>
      <c r="T162" s="19"/>
      <c r="U162" s="19"/>
      <c r="V162" s="19"/>
      <c r="W162" s="26" t="str">
        <f t="array" ref="W162">IF(H162="","",IFERROR(INDEX(Manicuristas!$D$6:$D$9,MATCH(H162,Manicuristas!$C$6:$C$9,0)),0))</f>
        <v/>
      </c>
      <c r="X162" s="26" t="str">
        <f t="array" ref="X162">IF(H162="","",IFERROR(INDEX(Manicuristas!$E$6:$E$9,MATCH(H162,Manicuristas!$C$6:$C$9,0)),0))</f>
        <v/>
      </c>
      <c r="Y162" s="26" t="str">
        <f t="array" ref="Y162">IF(H162="","",IFERROR(INDEX(Manicuristas!$F$6:$F$9,MATCH(H162,Manicuristas!$C$6:$C$9,0)),0))</f>
        <v/>
      </c>
      <c r="Z162" s="24">
        <f t="shared" si="4"/>
        <v>0</v>
      </c>
      <c r="AA162" s="24">
        <f t="shared" si="5"/>
        <v>0</v>
      </c>
      <c r="AB162" s="24">
        <f t="shared" si="6"/>
        <v>0</v>
      </c>
      <c r="AC162" s="24">
        <f t="shared" si="7"/>
        <v>0</v>
      </c>
      <c r="AD162" s="19"/>
    </row>
    <row r="163" ht="15.75" customHeight="1">
      <c r="B163" s="19"/>
      <c r="C163" s="20"/>
      <c r="D163" s="21"/>
      <c r="E163" s="22"/>
      <c r="F163" s="19"/>
      <c r="G163" s="23" t="str">
        <f t="array" ref="G163">IF(F163="","",IFERROR(INDEX(Clientas!$F$6:$F$55,MATCH(F163,Clientas!$C$6:$C$55,0)),""))</f>
        <v/>
      </c>
      <c r="H163" s="19"/>
      <c r="I163" s="19"/>
      <c r="J163" s="19"/>
      <c r="K163" s="19"/>
      <c r="L163" s="24">
        <f>IF(OR(I163="",J163="",G163=""),0,IF(G163="Local",SUMIFS(Servicios!$F$6:$F$39,Servicios!$D$6:$D$39,I163,Servicios!$E$6:$E$39,J163),SUMIFS(Servicios!$G$6:$G$39,Servicios!$D$6:$D$39,I163,Servicios!$E$6:$E$39,J163)))</f>
        <v>0</v>
      </c>
      <c r="M163" s="25"/>
      <c r="N163" s="24">
        <f t="shared" si="1"/>
        <v>0</v>
      </c>
      <c r="O163" s="25"/>
      <c r="P163" s="25"/>
      <c r="Q163" s="25"/>
      <c r="R163" s="24">
        <f t="shared" si="2"/>
        <v>0</v>
      </c>
      <c r="S163" s="24">
        <f t="shared" si="3"/>
        <v>0</v>
      </c>
      <c r="T163" s="19"/>
      <c r="U163" s="19"/>
      <c r="V163" s="19"/>
      <c r="W163" s="26" t="str">
        <f t="array" ref="W163">IF(H163="","",IFERROR(INDEX(Manicuristas!$D$6:$D$9,MATCH(H163,Manicuristas!$C$6:$C$9,0)),0))</f>
        <v/>
      </c>
      <c r="X163" s="26" t="str">
        <f t="array" ref="X163">IF(H163="","",IFERROR(INDEX(Manicuristas!$E$6:$E$9,MATCH(H163,Manicuristas!$C$6:$C$9,0)),0))</f>
        <v/>
      </c>
      <c r="Y163" s="26" t="str">
        <f t="array" ref="Y163">IF(H163="","",IFERROR(INDEX(Manicuristas!$F$6:$F$9,MATCH(H163,Manicuristas!$C$6:$C$9,0)),0))</f>
        <v/>
      </c>
      <c r="Z163" s="24">
        <f t="shared" si="4"/>
        <v>0</v>
      </c>
      <c r="AA163" s="24">
        <f t="shared" si="5"/>
        <v>0</v>
      </c>
      <c r="AB163" s="24">
        <f t="shared" si="6"/>
        <v>0</v>
      </c>
      <c r="AC163" s="24">
        <f t="shared" si="7"/>
        <v>0</v>
      </c>
      <c r="AD163" s="19"/>
    </row>
    <row r="164" ht="15.75" customHeight="1">
      <c r="B164" s="19"/>
      <c r="C164" s="20"/>
      <c r="D164" s="21"/>
      <c r="E164" s="22"/>
      <c r="F164" s="19"/>
      <c r="G164" s="23" t="str">
        <f t="array" ref="G164">IF(F164="","",IFERROR(INDEX(Clientas!$F$6:$F$55,MATCH(F164,Clientas!$C$6:$C$55,0)),""))</f>
        <v/>
      </c>
      <c r="H164" s="19"/>
      <c r="I164" s="19"/>
      <c r="J164" s="19"/>
      <c r="K164" s="19"/>
      <c r="L164" s="24">
        <f>IF(OR(I164="",J164="",G164=""),0,IF(G164="Local",SUMIFS(Servicios!$F$6:$F$39,Servicios!$D$6:$D$39,I164,Servicios!$E$6:$E$39,J164),SUMIFS(Servicios!$G$6:$G$39,Servicios!$D$6:$D$39,I164,Servicios!$E$6:$E$39,J164)))</f>
        <v>0</v>
      </c>
      <c r="M164" s="25"/>
      <c r="N164" s="24">
        <f t="shared" si="1"/>
        <v>0</v>
      </c>
      <c r="O164" s="25"/>
      <c r="P164" s="25"/>
      <c r="Q164" s="25"/>
      <c r="R164" s="24">
        <f t="shared" si="2"/>
        <v>0</v>
      </c>
      <c r="S164" s="24">
        <f t="shared" si="3"/>
        <v>0</v>
      </c>
      <c r="T164" s="19"/>
      <c r="U164" s="19"/>
      <c r="V164" s="19"/>
      <c r="W164" s="26" t="str">
        <f t="array" ref="W164">IF(H164="","",IFERROR(INDEX(Manicuristas!$D$6:$D$9,MATCH(H164,Manicuristas!$C$6:$C$9,0)),0))</f>
        <v/>
      </c>
      <c r="X164" s="26" t="str">
        <f t="array" ref="X164">IF(H164="","",IFERROR(INDEX(Manicuristas!$E$6:$E$9,MATCH(H164,Manicuristas!$C$6:$C$9,0)),0))</f>
        <v/>
      </c>
      <c r="Y164" s="26" t="str">
        <f t="array" ref="Y164">IF(H164="","",IFERROR(INDEX(Manicuristas!$F$6:$F$9,MATCH(H164,Manicuristas!$C$6:$C$9,0)),0))</f>
        <v/>
      </c>
      <c r="Z164" s="24">
        <f t="shared" si="4"/>
        <v>0</v>
      </c>
      <c r="AA164" s="24">
        <f t="shared" si="5"/>
        <v>0</v>
      </c>
      <c r="AB164" s="24">
        <f t="shared" si="6"/>
        <v>0</v>
      </c>
      <c r="AC164" s="24">
        <f t="shared" si="7"/>
        <v>0</v>
      </c>
      <c r="AD164" s="19"/>
    </row>
    <row r="165" ht="15.75" customHeight="1">
      <c r="B165" s="19"/>
      <c r="C165" s="20"/>
      <c r="D165" s="21"/>
      <c r="E165" s="22"/>
      <c r="F165" s="19"/>
      <c r="G165" s="23" t="str">
        <f t="array" ref="G165">IF(F165="","",IFERROR(INDEX(Clientas!$F$6:$F$55,MATCH(F165,Clientas!$C$6:$C$55,0)),""))</f>
        <v/>
      </c>
      <c r="H165" s="19"/>
      <c r="I165" s="19"/>
      <c r="J165" s="19"/>
      <c r="K165" s="19"/>
      <c r="L165" s="24">
        <f>IF(OR(I165="",J165="",G165=""),0,IF(G165="Local",SUMIFS(Servicios!$F$6:$F$39,Servicios!$D$6:$D$39,I165,Servicios!$E$6:$E$39,J165),SUMIFS(Servicios!$G$6:$G$39,Servicios!$D$6:$D$39,I165,Servicios!$E$6:$E$39,J165)))</f>
        <v>0</v>
      </c>
      <c r="M165" s="25"/>
      <c r="N165" s="24">
        <f t="shared" si="1"/>
        <v>0</v>
      </c>
      <c r="O165" s="25"/>
      <c r="P165" s="25"/>
      <c r="Q165" s="25"/>
      <c r="R165" s="24">
        <f t="shared" si="2"/>
        <v>0</v>
      </c>
      <c r="S165" s="24">
        <f t="shared" si="3"/>
        <v>0</v>
      </c>
      <c r="T165" s="19"/>
      <c r="U165" s="19"/>
      <c r="V165" s="19"/>
      <c r="W165" s="26" t="str">
        <f t="array" ref="W165">IF(H165="","",IFERROR(INDEX(Manicuristas!$D$6:$D$9,MATCH(H165,Manicuristas!$C$6:$C$9,0)),0))</f>
        <v/>
      </c>
      <c r="X165" s="26" t="str">
        <f t="array" ref="X165">IF(H165="","",IFERROR(INDEX(Manicuristas!$E$6:$E$9,MATCH(H165,Manicuristas!$C$6:$C$9,0)),0))</f>
        <v/>
      </c>
      <c r="Y165" s="26" t="str">
        <f t="array" ref="Y165">IF(H165="","",IFERROR(INDEX(Manicuristas!$F$6:$F$9,MATCH(H165,Manicuristas!$C$6:$C$9,0)),0))</f>
        <v/>
      </c>
      <c r="Z165" s="24">
        <f t="shared" si="4"/>
        <v>0</v>
      </c>
      <c r="AA165" s="24">
        <f t="shared" si="5"/>
        <v>0</v>
      </c>
      <c r="AB165" s="24">
        <f t="shared" si="6"/>
        <v>0</v>
      </c>
      <c r="AC165" s="24">
        <f t="shared" si="7"/>
        <v>0</v>
      </c>
      <c r="AD165" s="19"/>
    </row>
    <row r="166" ht="15.75" customHeight="1">
      <c r="B166" s="19"/>
      <c r="C166" s="20"/>
      <c r="D166" s="21"/>
      <c r="E166" s="22"/>
      <c r="F166" s="19"/>
      <c r="G166" s="23" t="str">
        <f t="array" ref="G166">IF(F166="","",IFERROR(INDEX(Clientas!$F$6:$F$55,MATCH(F166,Clientas!$C$6:$C$55,0)),""))</f>
        <v/>
      </c>
      <c r="H166" s="19"/>
      <c r="I166" s="19"/>
      <c r="J166" s="19"/>
      <c r="K166" s="19"/>
      <c r="L166" s="24">
        <f>IF(OR(I166="",J166="",G166=""),0,IF(G166="Local",SUMIFS(Servicios!$F$6:$F$39,Servicios!$D$6:$D$39,I166,Servicios!$E$6:$E$39,J166),SUMIFS(Servicios!$G$6:$G$39,Servicios!$D$6:$D$39,I166,Servicios!$E$6:$E$39,J166)))</f>
        <v>0</v>
      </c>
      <c r="M166" s="25"/>
      <c r="N166" s="24">
        <f t="shared" si="1"/>
        <v>0</v>
      </c>
      <c r="O166" s="25"/>
      <c r="P166" s="25"/>
      <c r="Q166" s="25"/>
      <c r="R166" s="24">
        <f t="shared" si="2"/>
        <v>0</v>
      </c>
      <c r="S166" s="24">
        <f t="shared" si="3"/>
        <v>0</v>
      </c>
      <c r="T166" s="19"/>
      <c r="U166" s="19"/>
      <c r="V166" s="19"/>
      <c r="W166" s="26" t="str">
        <f t="array" ref="W166">IF(H166="","",IFERROR(INDEX(Manicuristas!$D$6:$D$9,MATCH(H166,Manicuristas!$C$6:$C$9,0)),0))</f>
        <v/>
      </c>
      <c r="X166" s="26" t="str">
        <f t="array" ref="X166">IF(H166="","",IFERROR(INDEX(Manicuristas!$E$6:$E$9,MATCH(H166,Manicuristas!$C$6:$C$9,0)),0))</f>
        <v/>
      </c>
      <c r="Y166" s="26" t="str">
        <f t="array" ref="Y166">IF(H166="","",IFERROR(INDEX(Manicuristas!$F$6:$F$9,MATCH(H166,Manicuristas!$C$6:$C$9,0)),0))</f>
        <v/>
      </c>
      <c r="Z166" s="24">
        <f t="shared" si="4"/>
        <v>0</v>
      </c>
      <c r="AA166" s="24">
        <f t="shared" si="5"/>
        <v>0</v>
      </c>
      <c r="AB166" s="24">
        <f t="shared" si="6"/>
        <v>0</v>
      </c>
      <c r="AC166" s="24">
        <f t="shared" si="7"/>
        <v>0</v>
      </c>
      <c r="AD166" s="19"/>
    </row>
    <row r="167" ht="15.75" customHeight="1">
      <c r="B167" s="19"/>
      <c r="C167" s="20"/>
      <c r="D167" s="21"/>
      <c r="E167" s="22"/>
      <c r="F167" s="19"/>
      <c r="G167" s="23" t="str">
        <f t="array" ref="G167">IF(F167="","",IFERROR(INDEX(Clientas!$F$6:$F$55,MATCH(F167,Clientas!$C$6:$C$55,0)),""))</f>
        <v/>
      </c>
      <c r="H167" s="19"/>
      <c r="I167" s="19"/>
      <c r="J167" s="19"/>
      <c r="K167" s="19"/>
      <c r="L167" s="24">
        <f>IF(OR(I167="",J167="",G167=""),0,IF(G167="Local",SUMIFS(Servicios!$F$6:$F$39,Servicios!$D$6:$D$39,I167,Servicios!$E$6:$E$39,J167),SUMIFS(Servicios!$G$6:$G$39,Servicios!$D$6:$D$39,I167,Servicios!$E$6:$E$39,J167)))</f>
        <v>0</v>
      </c>
      <c r="M167" s="25"/>
      <c r="N167" s="24">
        <f t="shared" si="1"/>
        <v>0</v>
      </c>
      <c r="O167" s="25"/>
      <c r="P167" s="25"/>
      <c r="Q167" s="25"/>
      <c r="R167" s="24">
        <f t="shared" si="2"/>
        <v>0</v>
      </c>
      <c r="S167" s="24">
        <f t="shared" si="3"/>
        <v>0</v>
      </c>
      <c r="T167" s="19"/>
      <c r="U167" s="19"/>
      <c r="V167" s="19"/>
      <c r="W167" s="26" t="str">
        <f t="array" ref="W167">IF(H167="","",IFERROR(INDEX(Manicuristas!$D$6:$D$9,MATCH(H167,Manicuristas!$C$6:$C$9,0)),0))</f>
        <v/>
      </c>
      <c r="X167" s="26" t="str">
        <f t="array" ref="X167">IF(H167="","",IFERROR(INDEX(Manicuristas!$E$6:$E$9,MATCH(H167,Manicuristas!$C$6:$C$9,0)),0))</f>
        <v/>
      </c>
      <c r="Y167" s="26" t="str">
        <f t="array" ref="Y167">IF(H167="","",IFERROR(INDEX(Manicuristas!$F$6:$F$9,MATCH(H167,Manicuristas!$C$6:$C$9,0)),0))</f>
        <v/>
      </c>
      <c r="Z167" s="24">
        <f t="shared" si="4"/>
        <v>0</v>
      </c>
      <c r="AA167" s="24">
        <f t="shared" si="5"/>
        <v>0</v>
      </c>
      <c r="AB167" s="24">
        <f t="shared" si="6"/>
        <v>0</v>
      </c>
      <c r="AC167" s="24">
        <f t="shared" si="7"/>
        <v>0</v>
      </c>
      <c r="AD167" s="19"/>
    </row>
    <row r="168" ht="15.75" customHeight="1">
      <c r="B168" s="19"/>
      <c r="C168" s="20"/>
      <c r="D168" s="21"/>
      <c r="E168" s="22"/>
      <c r="F168" s="19"/>
      <c r="G168" s="23" t="str">
        <f t="array" ref="G168">IF(F168="","",IFERROR(INDEX(Clientas!$F$6:$F$55,MATCH(F168,Clientas!$C$6:$C$55,0)),""))</f>
        <v/>
      </c>
      <c r="H168" s="19"/>
      <c r="I168" s="19"/>
      <c r="J168" s="19"/>
      <c r="K168" s="19"/>
      <c r="L168" s="24">
        <f>IF(OR(I168="",J168="",G168=""),0,IF(G168="Local",SUMIFS(Servicios!$F$6:$F$39,Servicios!$D$6:$D$39,I168,Servicios!$E$6:$E$39,J168),SUMIFS(Servicios!$G$6:$G$39,Servicios!$D$6:$D$39,I168,Servicios!$E$6:$E$39,J168)))</f>
        <v>0</v>
      </c>
      <c r="M168" s="25"/>
      <c r="N168" s="24">
        <f t="shared" si="1"/>
        <v>0</v>
      </c>
      <c r="O168" s="25"/>
      <c r="P168" s="25"/>
      <c r="Q168" s="25"/>
      <c r="R168" s="24">
        <f t="shared" si="2"/>
        <v>0</v>
      </c>
      <c r="S168" s="24">
        <f t="shared" si="3"/>
        <v>0</v>
      </c>
      <c r="T168" s="19"/>
      <c r="U168" s="19"/>
      <c r="V168" s="19"/>
      <c r="W168" s="26" t="str">
        <f t="array" ref="W168">IF(H168="","",IFERROR(INDEX(Manicuristas!$D$6:$D$9,MATCH(H168,Manicuristas!$C$6:$C$9,0)),0))</f>
        <v/>
      </c>
      <c r="X168" s="26" t="str">
        <f t="array" ref="X168">IF(H168="","",IFERROR(INDEX(Manicuristas!$E$6:$E$9,MATCH(H168,Manicuristas!$C$6:$C$9,0)),0))</f>
        <v/>
      </c>
      <c r="Y168" s="26" t="str">
        <f t="array" ref="Y168">IF(H168="","",IFERROR(INDEX(Manicuristas!$F$6:$F$9,MATCH(H168,Manicuristas!$C$6:$C$9,0)),0))</f>
        <v/>
      </c>
      <c r="Z168" s="24">
        <f t="shared" si="4"/>
        <v>0</v>
      </c>
      <c r="AA168" s="24">
        <f t="shared" si="5"/>
        <v>0</v>
      </c>
      <c r="AB168" s="24">
        <f t="shared" si="6"/>
        <v>0</v>
      </c>
      <c r="AC168" s="24">
        <f t="shared" si="7"/>
        <v>0</v>
      </c>
      <c r="AD168" s="19"/>
    </row>
    <row r="169" ht="15.75" customHeight="1">
      <c r="B169" s="19"/>
      <c r="C169" s="20"/>
      <c r="D169" s="21"/>
      <c r="E169" s="22"/>
      <c r="F169" s="19"/>
      <c r="G169" s="23" t="str">
        <f t="array" ref="G169">IF(F169="","",IFERROR(INDEX(Clientas!$F$6:$F$55,MATCH(F169,Clientas!$C$6:$C$55,0)),""))</f>
        <v/>
      </c>
      <c r="H169" s="19"/>
      <c r="I169" s="19"/>
      <c r="J169" s="19"/>
      <c r="K169" s="19"/>
      <c r="L169" s="24">
        <f>IF(OR(I169="",J169="",G169=""),0,IF(G169="Local",SUMIFS(Servicios!$F$6:$F$39,Servicios!$D$6:$D$39,I169,Servicios!$E$6:$E$39,J169),SUMIFS(Servicios!$G$6:$G$39,Servicios!$D$6:$D$39,I169,Servicios!$E$6:$E$39,J169)))</f>
        <v>0</v>
      </c>
      <c r="M169" s="25"/>
      <c r="N169" s="24">
        <f t="shared" si="1"/>
        <v>0</v>
      </c>
      <c r="O169" s="25"/>
      <c r="P169" s="25"/>
      <c r="Q169" s="25"/>
      <c r="R169" s="24">
        <f t="shared" si="2"/>
        <v>0</v>
      </c>
      <c r="S169" s="24">
        <f t="shared" si="3"/>
        <v>0</v>
      </c>
      <c r="T169" s="19"/>
      <c r="U169" s="19"/>
      <c r="V169" s="19"/>
      <c r="W169" s="26" t="str">
        <f t="array" ref="W169">IF(H169="","",IFERROR(INDEX(Manicuristas!$D$6:$D$9,MATCH(H169,Manicuristas!$C$6:$C$9,0)),0))</f>
        <v/>
      </c>
      <c r="X169" s="26" t="str">
        <f t="array" ref="X169">IF(H169="","",IFERROR(INDEX(Manicuristas!$E$6:$E$9,MATCH(H169,Manicuristas!$C$6:$C$9,0)),0))</f>
        <v/>
      </c>
      <c r="Y169" s="26" t="str">
        <f t="array" ref="Y169">IF(H169="","",IFERROR(INDEX(Manicuristas!$F$6:$F$9,MATCH(H169,Manicuristas!$C$6:$C$9,0)),0))</f>
        <v/>
      </c>
      <c r="Z169" s="24">
        <f t="shared" si="4"/>
        <v>0</v>
      </c>
      <c r="AA169" s="24">
        <f t="shared" si="5"/>
        <v>0</v>
      </c>
      <c r="AB169" s="24">
        <f t="shared" si="6"/>
        <v>0</v>
      </c>
      <c r="AC169" s="24">
        <f t="shared" si="7"/>
        <v>0</v>
      </c>
      <c r="AD169" s="19"/>
    </row>
    <row r="170" ht="15.75" customHeight="1">
      <c r="B170" s="19"/>
      <c r="C170" s="20"/>
      <c r="D170" s="21"/>
      <c r="E170" s="22"/>
      <c r="F170" s="19"/>
      <c r="G170" s="23" t="str">
        <f t="array" ref="G170">IF(F170="","",IFERROR(INDEX(Clientas!$F$6:$F$55,MATCH(F170,Clientas!$C$6:$C$55,0)),""))</f>
        <v/>
      </c>
      <c r="H170" s="19"/>
      <c r="I170" s="19"/>
      <c r="J170" s="19"/>
      <c r="K170" s="19"/>
      <c r="L170" s="24">
        <f>IF(OR(I170="",J170="",G170=""),0,IF(G170="Local",SUMIFS(Servicios!$F$6:$F$39,Servicios!$D$6:$D$39,I170,Servicios!$E$6:$E$39,J170),SUMIFS(Servicios!$G$6:$G$39,Servicios!$D$6:$D$39,I170,Servicios!$E$6:$E$39,J170)))</f>
        <v>0</v>
      </c>
      <c r="M170" s="25"/>
      <c r="N170" s="24">
        <f t="shared" si="1"/>
        <v>0</v>
      </c>
      <c r="O170" s="25"/>
      <c r="P170" s="25"/>
      <c r="Q170" s="25"/>
      <c r="R170" s="24">
        <f t="shared" si="2"/>
        <v>0</v>
      </c>
      <c r="S170" s="24">
        <f t="shared" si="3"/>
        <v>0</v>
      </c>
      <c r="T170" s="19"/>
      <c r="U170" s="19"/>
      <c r="V170" s="19"/>
      <c r="W170" s="26" t="str">
        <f t="array" ref="W170">IF(H170="","",IFERROR(INDEX(Manicuristas!$D$6:$D$9,MATCH(H170,Manicuristas!$C$6:$C$9,0)),0))</f>
        <v/>
      </c>
      <c r="X170" s="26" t="str">
        <f t="array" ref="X170">IF(H170="","",IFERROR(INDEX(Manicuristas!$E$6:$E$9,MATCH(H170,Manicuristas!$C$6:$C$9,0)),0))</f>
        <v/>
      </c>
      <c r="Y170" s="26" t="str">
        <f t="array" ref="Y170">IF(H170="","",IFERROR(INDEX(Manicuristas!$F$6:$F$9,MATCH(H170,Manicuristas!$C$6:$C$9,0)),0))</f>
        <v/>
      </c>
      <c r="Z170" s="24">
        <f t="shared" si="4"/>
        <v>0</v>
      </c>
      <c r="AA170" s="24">
        <f t="shared" si="5"/>
        <v>0</v>
      </c>
      <c r="AB170" s="24">
        <f t="shared" si="6"/>
        <v>0</v>
      </c>
      <c r="AC170" s="24">
        <f t="shared" si="7"/>
        <v>0</v>
      </c>
      <c r="AD170" s="19"/>
    </row>
    <row r="171" ht="15.75" customHeight="1">
      <c r="B171" s="19"/>
      <c r="C171" s="20"/>
      <c r="D171" s="21"/>
      <c r="E171" s="22"/>
      <c r="F171" s="19"/>
      <c r="G171" s="23" t="str">
        <f t="array" ref="G171">IF(F171="","",IFERROR(INDEX(Clientas!$F$6:$F$55,MATCH(F171,Clientas!$C$6:$C$55,0)),""))</f>
        <v/>
      </c>
      <c r="H171" s="19"/>
      <c r="I171" s="19"/>
      <c r="J171" s="19"/>
      <c r="K171" s="19"/>
      <c r="L171" s="24">
        <f>IF(OR(I171="",J171="",G171=""),0,IF(G171="Local",SUMIFS(Servicios!$F$6:$F$39,Servicios!$D$6:$D$39,I171,Servicios!$E$6:$E$39,J171),SUMIFS(Servicios!$G$6:$G$39,Servicios!$D$6:$D$39,I171,Servicios!$E$6:$E$39,J171)))</f>
        <v>0</v>
      </c>
      <c r="M171" s="25"/>
      <c r="N171" s="24">
        <f t="shared" si="1"/>
        <v>0</v>
      </c>
      <c r="O171" s="25"/>
      <c r="P171" s="25"/>
      <c r="Q171" s="25"/>
      <c r="R171" s="24">
        <f t="shared" si="2"/>
        <v>0</v>
      </c>
      <c r="S171" s="24">
        <f t="shared" si="3"/>
        <v>0</v>
      </c>
      <c r="T171" s="19"/>
      <c r="U171" s="19"/>
      <c r="V171" s="19"/>
      <c r="W171" s="26" t="str">
        <f t="array" ref="W171">IF(H171="","",IFERROR(INDEX(Manicuristas!$D$6:$D$9,MATCH(H171,Manicuristas!$C$6:$C$9,0)),0))</f>
        <v/>
      </c>
      <c r="X171" s="26" t="str">
        <f t="array" ref="X171">IF(H171="","",IFERROR(INDEX(Manicuristas!$E$6:$E$9,MATCH(H171,Manicuristas!$C$6:$C$9,0)),0))</f>
        <v/>
      </c>
      <c r="Y171" s="26" t="str">
        <f t="array" ref="Y171">IF(H171="","",IFERROR(INDEX(Manicuristas!$F$6:$F$9,MATCH(H171,Manicuristas!$C$6:$C$9,0)),0))</f>
        <v/>
      </c>
      <c r="Z171" s="24">
        <f t="shared" si="4"/>
        <v>0</v>
      </c>
      <c r="AA171" s="24">
        <f t="shared" si="5"/>
        <v>0</v>
      </c>
      <c r="AB171" s="24">
        <f t="shared" si="6"/>
        <v>0</v>
      </c>
      <c r="AC171" s="24">
        <f t="shared" si="7"/>
        <v>0</v>
      </c>
      <c r="AD171" s="19"/>
    </row>
    <row r="172" ht="15.75" customHeight="1">
      <c r="B172" s="19"/>
      <c r="C172" s="20"/>
      <c r="D172" s="21"/>
      <c r="E172" s="22"/>
      <c r="F172" s="19"/>
      <c r="G172" s="23" t="str">
        <f t="array" ref="G172">IF(F172="","",IFERROR(INDEX(Clientas!$F$6:$F$55,MATCH(F172,Clientas!$C$6:$C$55,0)),""))</f>
        <v/>
      </c>
      <c r="H172" s="19"/>
      <c r="I172" s="19"/>
      <c r="J172" s="19"/>
      <c r="K172" s="19"/>
      <c r="L172" s="24">
        <f>IF(OR(I172="",J172="",G172=""),0,IF(G172="Local",SUMIFS(Servicios!$F$6:$F$39,Servicios!$D$6:$D$39,I172,Servicios!$E$6:$E$39,J172),SUMIFS(Servicios!$G$6:$G$39,Servicios!$D$6:$D$39,I172,Servicios!$E$6:$E$39,J172)))</f>
        <v>0</v>
      </c>
      <c r="M172" s="25"/>
      <c r="N172" s="24">
        <f t="shared" si="1"/>
        <v>0</v>
      </c>
      <c r="O172" s="25"/>
      <c r="P172" s="25"/>
      <c r="Q172" s="25"/>
      <c r="R172" s="24">
        <f t="shared" si="2"/>
        <v>0</v>
      </c>
      <c r="S172" s="24">
        <f t="shared" si="3"/>
        <v>0</v>
      </c>
      <c r="T172" s="19"/>
      <c r="U172" s="19"/>
      <c r="V172" s="19"/>
      <c r="W172" s="26" t="str">
        <f t="array" ref="W172">IF(H172="","",IFERROR(INDEX(Manicuristas!$D$6:$D$9,MATCH(H172,Manicuristas!$C$6:$C$9,0)),0))</f>
        <v/>
      </c>
      <c r="X172" s="26" t="str">
        <f t="array" ref="X172">IF(H172="","",IFERROR(INDEX(Manicuristas!$E$6:$E$9,MATCH(H172,Manicuristas!$C$6:$C$9,0)),0))</f>
        <v/>
      </c>
      <c r="Y172" s="26" t="str">
        <f t="array" ref="Y172">IF(H172="","",IFERROR(INDEX(Manicuristas!$F$6:$F$9,MATCH(H172,Manicuristas!$C$6:$C$9,0)),0))</f>
        <v/>
      </c>
      <c r="Z172" s="24">
        <f t="shared" si="4"/>
        <v>0</v>
      </c>
      <c r="AA172" s="24">
        <f t="shared" si="5"/>
        <v>0</v>
      </c>
      <c r="AB172" s="24">
        <f t="shared" si="6"/>
        <v>0</v>
      </c>
      <c r="AC172" s="24">
        <f t="shared" si="7"/>
        <v>0</v>
      </c>
      <c r="AD172" s="19"/>
    </row>
    <row r="173" ht="15.75" customHeight="1">
      <c r="B173" s="19"/>
      <c r="C173" s="20"/>
      <c r="D173" s="21"/>
      <c r="E173" s="22"/>
      <c r="F173" s="19"/>
      <c r="G173" s="23" t="str">
        <f t="array" ref="G173">IF(F173="","",IFERROR(INDEX(Clientas!$F$6:$F$55,MATCH(F173,Clientas!$C$6:$C$55,0)),""))</f>
        <v/>
      </c>
      <c r="H173" s="19"/>
      <c r="I173" s="19"/>
      <c r="J173" s="19"/>
      <c r="K173" s="19"/>
      <c r="L173" s="24">
        <f>IF(OR(I173="",J173="",G173=""),0,IF(G173="Local",SUMIFS(Servicios!$F$6:$F$39,Servicios!$D$6:$D$39,I173,Servicios!$E$6:$E$39,J173),SUMIFS(Servicios!$G$6:$G$39,Servicios!$D$6:$D$39,I173,Servicios!$E$6:$E$39,J173)))</f>
        <v>0</v>
      </c>
      <c r="M173" s="25"/>
      <c r="N173" s="24">
        <f t="shared" si="1"/>
        <v>0</v>
      </c>
      <c r="O173" s="25"/>
      <c r="P173" s="25"/>
      <c r="Q173" s="25"/>
      <c r="R173" s="24">
        <f t="shared" si="2"/>
        <v>0</v>
      </c>
      <c r="S173" s="24">
        <f t="shared" si="3"/>
        <v>0</v>
      </c>
      <c r="T173" s="19"/>
      <c r="U173" s="19"/>
      <c r="V173" s="19"/>
      <c r="W173" s="26" t="str">
        <f t="array" ref="W173">IF(H173="","",IFERROR(INDEX(Manicuristas!$D$6:$D$9,MATCH(H173,Manicuristas!$C$6:$C$9,0)),0))</f>
        <v/>
      </c>
      <c r="X173" s="26" t="str">
        <f t="array" ref="X173">IF(H173="","",IFERROR(INDEX(Manicuristas!$E$6:$E$9,MATCH(H173,Manicuristas!$C$6:$C$9,0)),0))</f>
        <v/>
      </c>
      <c r="Y173" s="26" t="str">
        <f t="array" ref="Y173">IF(H173="","",IFERROR(INDEX(Manicuristas!$F$6:$F$9,MATCH(H173,Manicuristas!$C$6:$C$9,0)),0))</f>
        <v/>
      </c>
      <c r="Z173" s="24">
        <f t="shared" si="4"/>
        <v>0</v>
      </c>
      <c r="AA173" s="24">
        <f t="shared" si="5"/>
        <v>0</v>
      </c>
      <c r="AB173" s="24">
        <f t="shared" si="6"/>
        <v>0</v>
      </c>
      <c r="AC173" s="24">
        <f t="shared" si="7"/>
        <v>0</v>
      </c>
      <c r="AD173" s="19"/>
    </row>
    <row r="174" ht="15.75" customHeight="1">
      <c r="B174" s="19"/>
      <c r="C174" s="20"/>
      <c r="D174" s="21"/>
      <c r="E174" s="22"/>
      <c r="F174" s="19"/>
      <c r="G174" s="23" t="str">
        <f t="array" ref="G174">IF(F174="","",IFERROR(INDEX(Clientas!$F$6:$F$55,MATCH(F174,Clientas!$C$6:$C$55,0)),""))</f>
        <v/>
      </c>
      <c r="H174" s="19"/>
      <c r="I174" s="19"/>
      <c r="J174" s="19"/>
      <c r="K174" s="19"/>
      <c r="L174" s="24">
        <f>IF(OR(I174="",J174="",G174=""),0,IF(G174="Local",SUMIFS(Servicios!$F$6:$F$39,Servicios!$D$6:$D$39,I174,Servicios!$E$6:$E$39,J174),SUMIFS(Servicios!$G$6:$G$39,Servicios!$D$6:$D$39,I174,Servicios!$E$6:$E$39,J174)))</f>
        <v>0</v>
      </c>
      <c r="M174" s="25"/>
      <c r="N174" s="24">
        <f t="shared" si="1"/>
        <v>0</v>
      </c>
      <c r="O174" s="25"/>
      <c r="P174" s="25"/>
      <c r="Q174" s="25"/>
      <c r="R174" s="24">
        <f t="shared" si="2"/>
        <v>0</v>
      </c>
      <c r="S174" s="24">
        <f t="shared" si="3"/>
        <v>0</v>
      </c>
      <c r="T174" s="19"/>
      <c r="U174" s="19"/>
      <c r="V174" s="19"/>
      <c r="W174" s="26" t="str">
        <f t="array" ref="W174">IF(H174="","",IFERROR(INDEX(Manicuristas!$D$6:$D$9,MATCH(H174,Manicuristas!$C$6:$C$9,0)),0))</f>
        <v/>
      </c>
      <c r="X174" s="26" t="str">
        <f t="array" ref="X174">IF(H174="","",IFERROR(INDEX(Manicuristas!$E$6:$E$9,MATCH(H174,Manicuristas!$C$6:$C$9,0)),0))</f>
        <v/>
      </c>
      <c r="Y174" s="26" t="str">
        <f t="array" ref="Y174">IF(H174="","",IFERROR(INDEX(Manicuristas!$F$6:$F$9,MATCH(H174,Manicuristas!$C$6:$C$9,0)),0))</f>
        <v/>
      </c>
      <c r="Z174" s="24">
        <f t="shared" si="4"/>
        <v>0</v>
      </c>
      <c r="AA174" s="24">
        <f t="shared" si="5"/>
        <v>0</v>
      </c>
      <c r="AB174" s="24">
        <f t="shared" si="6"/>
        <v>0</v>
      </c>
      <c r="AC174" s="24">
        <f t="shared" si="7"/>
        <v>0</v>
      </c>
      <c r="AD174" s="19"/>
    </row>
    <row r="175" ht="15.75" customHeight="1">
      <c r="B175" s="19"/>
      <c r="C175" s="20"/>
      <c r="D175" s="21"/>
      <c r="E175" s="22"/>
      <c r="F175" s="19"/>
      <c r="G175" s="23" t="str">
        <f t="array" ref="G175">IF(F175="","",IFERROR(INDEX(Clientas!$F$6:$F$55,MATCH(F175,Clientas!$C$6:$C$55,0)),""))</f>
        <v/>
      </c>
      <c r="H175" s="19"/>
      <c r="I175" s="19"/>
      <c r="J175" s="19"/>
      <c r="K175" s="19"/>
      <c r="L175" s="24">
        <f>IF(OR(I175="",J175="",G175=""),0,IF(G175="Local",SUMIFS(Servicios!$F$6:$F$39,Servicios!$D$6:$D$39,I175,Servicios!$E$6:$E$39,J175),SUMIFS(Servicios!$G$6:$G$39,Servicios!$D$6:$D$39,I175,Servicios!$E$6:$E$39,J175)))</f>
        <v>0</v>
      </c>
      <c r="M175" s="25"/>
      <c r="N175" s="24">
        <f t="shared" si="1"/>
        <v>0</v>
      </c>
      <c r="O175" s="25"/>
      <c r="P175" s="25"/>
      <c r="Q175" s="25"/>
      <c r="R175" s="24">
        <f t="shared" si="2"/>
        <v>0</v>
      </c>
      <c r="S175" s="24">
        <f t="shared" si="3"/>
        <v>0</v>
      </c>
      <c r="T175" s="19"/>
      <c r="U175" s="19"/>
      <c r="V175" s="19"/>
      <c r="W175" s="26" t="str">
        <f t="array" ref="W175">IF(H175="","",IFERROR(INDEX(Manicuristas!$D$6:$D$9,MATCH(H175,Manicuristas!$C$6:$C$9,0)),0))</f>
        <v/>
      </c>
      <c r="X175" s="26" t="str">
        <f t="array" ref="X175">IF(H175="","",IFERROR(INDEX(Manicuristas!$E$6:$E$9,MATCH(H175,Manicuristas!$C$6:$C$9,0)),0))</f>
        <v/>
      </c>
      <c r="Y175" s="26" t="str">
        <f t="array" ref="Y175">IF(H175="","",IFERROR(INDEX(Manicuristas!$F$6:$F$9,MATCH(H175,Manicuristas!$C$6:$C$9,0)),0))</f>
        <v/>
      </c>
      <c r="Z175" s="24">
        <f t="shared" si="4"/>
        <v>0</v>
      </c>
      <c r="AA175" s="24">
        <f t="shared" si="5"/>
        <v>0</v>
      </c>
      <c r="AB175" s="24">
        <f t="shared" si="6"/>
        <v>0</v>
      </c>
      <c r="AC175" s="24">
        <f t="shared" si="7"/>
        <v>0</v>
      </c>
      <c r="AD175" s="19"/>
    </row>
    <row r="176" ht="15.75" customHeight="1">
      <c r="B176" s="19"/>
      <c r="C176" s="20"/>
      <c r="D176" s="21"/>
      <c r="E176" s="22"/>
      <c r="F176" s="19"/>
      <c r="G176" s="23" t="str">
        <f t="array" ref="G176">IF(F176="","",IFERROR(INDEX(Clientas!$F$6:$F$55,MATCH(F176,Clientas!$C$6:$C$55,0)),""))</f>
        <v/>
      </c>
      <c r="H176" s="19"/>
      <c r="I176" s="19"/>
      <c r="J176" s="19"/>
      <c r="K176" s="19"/>
      <c r="L176" s="24">
        <f>IF(OR(I176="",J176="",G176=""),0,IF(G176="Local",SUMIFS(Servicios!$F$6:$F$39,Servicios!$D$6:$D$39,I176,Servicios!$E$6:$E$39,J176),SUMIFS(Servicios!$G$6:$G$39,Servicios!$D$6:$D$39,I176,Servicios!$E$6:$E$39,J176)))</f>
        <v>0</v>
      </c>
      <c r="M176" s="25"/>
      <c r="N176" s="24">
        <f t="shared" si="1"/>
        <v>0</v>
      </c>
      <c r="O176" s="25"/>
      <c r="P176" s="25"/>
      <c r="Q176" s="25"/>
      <c r="R176" s="24">
        <f t="shared" si="2"/>
        <v>0</v>
      </c>
      <c r="S176" s="24">
        <f t="shared" si="3"/>
        <v>0</v>
      </c>
      <c r="T176" s="19"/>
      <c r="U176" s="19"/>
      <c r="V176" s="19"/>
      <c r="W176" s="26" t="str">
        <f t="array" ref="W176">IF(H176="","",IFERROR(INDEX(Manicuristas!$D$6:$D$9,MATCH(H176,Manicuristas!$C$6:$C$9,0)),0))</f>
        <v/>
      </c>
      <c r="X176" s="26" t="str">
        <f t="array" ref="X176">IF(H176="","",IFERROR(INDEX(Manicuristas!$E$6:$E$9,MATCH(H176,Manicuristas!$C$6:$C$9,0)),0))</f>
        <v/>
      </c>
      <c r="Y176" s="26" t="str">
        <f t="array" ref="Y176">IF(H176="","",IFERROR(INDEX(Manicuristas!$F$6:$F$9,MATCH(H176,Manicuristas!$C$6:$C$9,0)),0))</f>
        <v/>
      </c>
      <c r="Z176" s="24">
        <f t="shared" si="4"/>
        <v>0</v>
      </c>
      <c r="AA176" s="24">
        <f t="shared" si="5"/>
        <v>0</v>
      </c>
      <c r="AB176" s="24">
        <f t="shared" si="6"/>
        <v>0</v>
      </c>
      <c r="AC176" s="24">
        <f t="shared" si="7"/>
        <v>0</v>
      </c>
      <c r="AD176" s="19"/>
    </row>
    <row r="177" ht="15.75" customHeight="1">
      <c r="B177" s="19"/>
      <c r="C177" s="20"/>
      <c r="D177" s="21"/>
      <c r="E177" s="22"/>
      <c r="F177" s="19"/>
      <c r="G177" s="23" t="str">
        <f t="array" ref="G177">IF(F177="","",IFERROR(INDEX(Clientas!$F$6:$F$55,MATCH(F177,Clientas!$C$6:$C$55,0)),""))</f>
        <v/>
      </c>
      <c r="H177" s="19"/>
      <c r="I177" s="19"/>
      <c r="J177" s="19"/>
      <c r="K177" s="19"/>
      <c r="L177" s="24">
        <f>IF(OR(I177="",J177="",G177=""),0,IF(G177="Local",SUMIFS(Servicios!$F$6:$F$39,Servicios!$D$6:$D$39,I177,Servicios!$E$6:$E$39,J177),SUMIFS(Servicios!$G$6:$G$39,Servicios!$D$6:$D$39,I177,Servicios!$E$6:$E$39,J177)))</f>
        <v>0</v>
      </c>
      <c r="M177" s="25"/>
      <c r="N177" s="24">
        <f t="shared" si="1"/>
        <v>0</v>
      </c>
      <c r="O177" s="25"/>
      <c r="P177" s="25"/>
      <c r="Q177" s="25"/>
      <c r="R177" s="24">
        <f t="shared" si="2"/>
        <v>0</v>
      </c>
      <c r="S177" s="24">
        <f t="shared" si="3"/>
        <v>0</v>
      </c>
      <c r="T177" s="19"/>
      <c r="U177" s="19"/>
      <c r="V177" s="19"/>
      <c r="W177" s="26" t="str">
        <f t="array" ref="W177">IF(H177="","",IFERROR(INDEX(Manicuristas!$D$6:$D$9,MATCH(H177,Manicuristas!$C$6:$C$9,0)),0))</f>
        <v/>
      </c>
      <c r="X177" s="26" t="str">
        <f t="array" ref="X177">IF(H177="","",IFERROR(INDEX(Manicuristas!$E$6:$E$9,MATCH(H177,Manicuristas!$C$6:$C$9,0)),0))</f>
        <v/>
      </c>
      <c r="Y177" s="26" t="str">
        <f t="array" ref="Y177">IF(H177="","",IFERROR(INDEX(Manicuristas!$F$6:$F$9,MATCH(H177,Manicuristas!$C$6:$C$9,0)),0))</f>
        <v/>
      </c>
      <c r="Z177" s="24">
        <f t="shared" si="4"/>
        <v>0</v>
      </c>
      <c r="AA177" s="24">
        <f t="shared" si="5"/>
        <v>0</v>
      </c>
      <c r="AB177" s="24">
        <f t="shared" si="6"/>
        <v>0</v>
      </c>
      <c r="AC177" s="24">
        <f t="shared" si="7"/>
        <v>0</v>
      </c>
      <c r="AD177" s="19"/>
    </row>
    <row r="178" ht="15.75" customHeight="1">
      <c r="B178" s="19"/>
      <c r="C178" s="20"/>
      <c r="D178" s="21"/>
      <c r="E178" s="22"/>
      <c r="F178" s="19"/>
      <c r="G178" s="23" t="str">
        <f t="array" ref="G178">IF(F178="","",IFERROR(INDEX(Clientas!$F$6:$F$55,MATCH(F178,Clientas!$C$6:$C$55,0)),""))</f>
        <v/>
      </c>
      <c r="H178" s="19"/>
      <c r="I178" s="19"/>
      <c r="J178" s="19"/>
      <c r="K178" s="19"/>
      <c r="L178" s="24">
        <f>IF(OR(I178="",J178="",G178=""),0,IF(G178="Local",SUMIFS(Servicios!$F$6:$F$39,Servicios!$D$6:$D$39,I178,Servicios!$E$6:$E$39,J178),SUMIFS(Servicios!$G$6:$G$39,Servicios!$D$6:$D$39,I178,Servicios!$E$6:$E$39,J178)))</f>
        <v>0</v>
      </c>
      <c r="M178" s="25"/>
      <c r="N178" s="24">
        <f t="shared" si="1"/>
        <v>0</v>
      </c>
      <c r="O178" s="25"/>
      <c r="P178" s="25"/>
      <c r="Q178" s="25"/>
      <c r="R178" s="24">
        <f t="shared" si="2"/>
        <v>0</v>
      </c>
      <c r="S178" s="24">
        <f t="shared" si="3"/>
        <v>0</v>
      </c>
      <c r="T178" s="19"/>
      <c r="U178" s="19"/>
      <c r="V178" s="19"/>
      <c r="W178" s="26" t="str">
        <f t="array" ref="W178">IF(H178="","",IFERROR(INDEX(Manicuristas!$D$6:$D$9,MATCH(H178,Manicuristas!$C$6:$C$9,0)),0))</f>
        <v/>
      </c>
      <c r="X178" s="26" t="str">
        <f t="array" ref="X178">IF(H178="","",IFERROR(INDEX(Manicuristas!$E$6:$E$9,MATCH(H178,Manicuristas!$C$6:$C$9,0)),0))</f>
        <v/>
      </c>
      <c r="Y178" s="26" t="str">
        <f t="array" ref="Y178">IF(H178="","",IFERROR(INDEX(Manicuristas!$F$6:$F$9,MATCH(H178,Manicuristas!$C$6:$C$9,0)),0))</f>
        <v/>
      </c>
      <c r="Z178" s="24">
        <f t="shared" si="4"/>
        <v>0</v>
      </c>
      <c r="AA178" s="24">
        <f t="shared" si="5"/>
        <v>0</v>
      </c>
      <c r="AB178" s="24">
        <f t="shared" si="6"/>
        <v>0</v>
      </c>
      <c r="AC178" s="24">
        <f t="shared" si="7"/>
        <v>0</v>
      </c>
      <c r="AD178" s="19"/>
    </row>
    <row r="179" ht="15.75" customHeight="1">
      <c r="B179" s="19"/>
      <c r="C179" s="20"/>
      <c r="D179" s="21"/>
      <c r="E179" s="22"/>
      <c r="F179" s="19"/>
      <c r="G179" s="23" t="str">
        <f t="array" ref="G179">IF(F179="","",IFERROR(INDEX(Clientas!$F$6:$F$55,MATCH(F179,Clientas!$C$6:$C$55,0)),""))</f>
        <v/>
      </c>
      <c r="H179" s="19"/>
      <c r="I179" s="19"/>
      <c r="J179" s="19"/>
      <c r="K179" s="19"/>
      <c r="L179" s="24">
        <f>IF(OR(I179="",J179="",G179=""),0,IF(G179="Local",SUMIFS(Servicios!$F$6:$F$39,Servicios!$D$6:$D$39,I179,Servicios!$E$6:$E$39,J179),SUMIFS(Servicios!$G$6:$G$39,Servicios!$D$6:$D$39,I179,Servicios!$E$6:$E$39,J179)))</f>
        <v>0</v>
      </c>
      <c r="M179" s="25"/>
      <c r="N179" s="24">
        <f t="shared" si="1"/>
        <v>0</v>
      </c>
      <c r="O179" s="25"/>
      <c r="P179" s="25"/>
      <c r="Q179" s="25"/>
      <c r="R179" s="24">
        <f t="shared" si="2"/>
        <v>0</v>
      </c>
      <c r="S179" s="24">
        <f t="shared" si="3"/>
        <v>0</v>
      </c>
      <c r="T179" s="19"/>
      <c r="U179" s="19"/>
      <c r="V179" s="19"/>
      <c r="W179" s="26" t="str">
        <f t="array" ref="W179">IF(H179="","",IFERROR(INDEX(Manicuristas!$D$6:$D$9,MATCH(H179,Manicuristas!$C$6:$C$9,0)),0))</f>
        <v/>
      </c>
      <c r="X179" s="26" t="str">
        <f t="array" ref="X179">IF(H179="","",IFERROR(INDEX(Manicuristas!$E$6:$E$9,MATCH(H179,Manicuristas!$C$6:$C$9,0)),0))</f>
        <v/>
      </c>
      <c r="Y179" s="26" t="str">
        <f t="array" ref="Y179">IF(H179="","",IFERROR(INDEX(Manicuristas!$F$6:$F$9,MATCH(H179,Manicuristas!$C$6:$C$9,0)),0))</f>
        <v/>
      </c>
      <c r="Z179" s="24">
        <f t="shared" si="4"/>
        <v>0</v>
      </c>
      <c r="AA179" s="24">
        <f t="shared" si="5"/>
        <v>0</v>
      </c>
      <c r="AB179" s="24">
        <f t="shared" si="6"/>
        <v>0</v>
      </c>
      <c r="AC179" s="24">
        <f t="shared" si="7"/>
        <v>0</v>
      </c>
      <c r="AD179" s="19"/>
    </row>
    <row r="180" ht="15.75" customHeight="1">
      <c r="B180" s="19"/>
      <c r="C180" s="20"/>
      <c r="D180" s="21"/>
      <c r="E180" s="22"/>
      <c r="F180" s="19"/>
      <c r="G180" s="23" t="str">
        <f t="array" ref="G180">IF(F180="","",IFERROR(INDEX(Clientas!$F$6:$F$55,MATCH(F180,Clientas!$C$6:$C$55,0)),""))</f>
        <v/>
      </c>
      <c r="H180" s="19"/>
      <c r="I180" s="19"/>
      <c r="J180" s="19"/>
      <c r="K180" s="19"/>
      <c r="L180" s="24">
        <f>IF(OR(I180="",J180="",G180=""),0,IF(G180="Local",SUMIFS(Servicios!$F$6:$F$39,Servicios!$D$6:$D$39,I180,Servicios!$E$6:$E$39,J180),SUMIFS(Servicios!$G$6:$G$39,Servicios!$D$6:$D$39,I180,Servicios!$E$6:$E$39,J180)))</f>
        <v>0</v>
      </c>
      <c r="M180" s="25"/>
      <c r="N180" s="24">
        <f t="shared" si="1"/>
        <v>0</v>
      </c>
      <c r="O180" s="25"/>
      <c r="P180" s="25"/>
      <c r="Q180" s="25"/>
      <c r="R180" s="24">
        <f t="shared" si="2"/>
        <v>0</v>
      </c>
      <c r="S180" s="24">
        <f t="shared" si="3"/>
        <v>0</v>
      </c>
      <c r="T180" s="19"/>
      <c r="U180" s="19"/>
      <c r="V180" s="19"/>
      <c r="W180" s="26" t="str">
        <f t="array" ref="W180">IF(H180="","",IFERROR(INDEX(Manicuristas!$D$6:$D$9,MATCH(H180,Manicuristas!$C$6:$C$9,0)),0))</f>
        <v/>
      </c>
      <c r="X180" s="26" t="str">
        <f t="array" ref="X180">IF(H180="","",IFERROR(INDEX(Manicuristas!$E$6:$E$9,MATCH(H180,Manicuristas!$C$6:$C$9,0)),0))</f>
        <v/>
      </c>
      <c r="Y180" s="26" t="str">
        <f t="array" ref="Y180">IF(H180="","",IFERROR(INDEX(Manicuristas!$F$6:$F$9,MATCH(H180,Manicuristas!$C$6:$C$9,0)),0))</f>
        <v/>
      </c>
      <c r="Z180" s="24">
        <f t="shared" si="4"/>
        <v>0</v>
      </c>
      <c r="AA180" s="24">
        <f t="shared" si="5"/>
        <v>0</v>
      </c>
      <c r="AB180" s="24">
        <f t="shared" si="6"/>
        <v>0</v>
      </c>
      <c r="AC180" s="24">
        <f t="shared" si="7"/>
        <v>0</v>
      </c>
      <c r="AD180" s="19"/>
    </row>
    <row r="181" ht="15.75" customHeight="1">
      <c r="B181" s="19"/>
      <c r="C181" s="20"/>
      <c r="D181" s="21"/>
      <c r="E181" s="22"/>
      <c r="F181" s="19"/>
      <c r="G181" s="23" t="str">
        <f t="array" ref="G181">IF(F181="","",IFERROR(INDEX(Clientas!$F$6:$F$55,MATCH(F181,Clientas!$C$6:$C$55,0)),""))</f>
        <v/>
      </c>
      <c r="H181" s="19"/>
      <c r="I181" s="19"/>
      <c r="J181" s="19"/>
      <c r="K181" s="19"/>
      <c r="L181" s="24">
        <f>IF(OR(I181="",J181="",G181=""),0,IF(G181="Local",SUMIFS(Servicios!$F$6:$F$39,Servicios!$D$6:$D$39,I181,Servicios!$E$6:$E$39,J181),SUMIFS(Servicios!$G$6:$G$39,Servicios!$D$6:$D$39,I181,Servicios!$E$6:$E$39,J181)))</f>
        <v>0</v>
      </c>
      <c r="M181" s="25"/>
      <c r="N181" s="24">
        <f t="shared" si="1"/>
        <v>0</v>
      </c>
      <c r="O181" s="25"/>
      <c r="P181" s="25"/>
      <c r="Q181" s="25"/>
      <c r="R181" s="24">
        <f t="shared" si="2"/>
        <v>0</v>
      </c>
      <c r="S181" s="24">
        <f t="shared" si="3"/>
        <v>0</v>
      </c>
      <c r="T181" s="19"/>
      <c r="U181" s="19"/>
      <c r="V181" s="19"/>
      <c r="W181" s="26" t="str">
        <f t="array" ref="W181">IF(H181="","",IFERROR(INDEX(Manicuristas!$D$6:$D$9,MATCH(H181,Manicuristas!$C$6:$C$9,0)),0))</f>
        <v/>
      </c>
      <c r="X181" s="26" t="str">
        <f t="array" ref="X181">IF(H181="","",IFERROR(INDEX(Manicuristas!$E$6:$E$9,MATCH(H181,Manicuristas!$C$6:$C$9,0)),0))</f>
        <v/>
      </c>
      <c r="Y181" s="26" t="str">
        <f t="array" ref="Y181">IF(H181="","",IFERROR(INDEX(Manicuristas!$F$6:$F$9,MATCH(H181,Manicuristas!$C$6:$C$9,0)),0))</f>
        <v/>
      </c>
      <c r="Z181" s="24">
        <f t="shared" si="4"/>
        <v>0</v>
      </c>
      <c r="AA181" s="24">
        <f t="shared" si="5"/>
        <v>0</v>
      </c>
      <c r="AB181" s="24">
        <f t="shared" si="6"/>
        <v>0</v>
      </c>
      <c r="AC181" s="24">
        <f t="shared" si="7"/>
        <v>0</v>
      </c>
      <c r="AD181" s="19"/>
    </row>
    <row r="182" ht="15.75" customHeight="1">
      <c r="B182" s="19"/>
      <c r="C182" s="20"/>
      <c r="D182" s="21"/>
      <c r="E182" s="22"/>
      <c r="F182" s="19"/>
      <c r="G182" s="23" t="str">
        <f t="array" ref="G182">IF(F182="","",IFERROR(INDEX(Clientas!$F$6:$F$55,MATCH(F182,Clientas!$C$6:$C$55,0)),""))</f>
        <v/>
      </c>
      <c r="H182" s="19"/>
      <c r="I182" s="19"/>
      <c r="J182" s="19"/>
      <c r="K182" s="19"/>
      <c r="L182" s="24">
        <f>IF(OR(I182="",J182="",G182=""),0,IF(G182="Local",SUMIFS(Servicios!$F$6:$F$39,Servicios!$D$6:$D$39,I182,Servicios!$E$6:$E$39,J182),SUMIFS(Servicios!$G$6:$G$39,Servicios!$D$6:$D$39,I182,Servicios!$E$6:$E$39,J182)))</f>
        <v>0</v>
      </c>
      <c r="M182" s="25"/>
      <c r="N182" s="24">
        <f t="shared" si="1"/>
        <v>0</v>
      </c>
      <c r="O182" s="25"/>
      <c r="P182" s="25"/>
      <c r="Q182" s="25"/>
      <c r="R182" s="24">
        <f t="shared" si="2"/>
        <v>0</v>
      </c>
      <c r="S182" s="24">
        <f t="shared" si="3"/>
        <v>0</v>
      </c>
      <c r="T182" s="19"/>
      <c r="U182" s="19"/>
      <c r="V182" s="19"/>
      <c r="W182" s="26" t="str">
        <f t="array" ref="W182">IF(H182="","",IFERROR(INDEX(Manicuristas!$D$6:$D$9,MATCH(H182,Manicuristas!$C$6:$C$9,0)),0))</f>
        <v/>
      </c>
      <c r="X182" s="26" t="str">
        <f t="array" ref="X182">IF(H182="","",IFERROR(INDEX(Manicuristas!$E$6:$E$9,MATCH(H182,Manicuristas!$C$6:$C$9,0)),0))</f>
        <v/>
      </c>
      <c r="Y182" s="26" t="str">
        <f t="array" ref="Y182">IF(H182="","",IFERROR(INDEX(Manicuristas!$F$6:$F$9,MATCH(H182,Manicuristas!$C$6:$C$9,0)),0))</f>
        <v/>
      </c>
      <c r="Z182" s="24">
        <f t="shared" si="4"/>
        <v>0</v>
      </c>
      <c r="AA182" s="24">
        <f t="shared" si="5"/>
        <v>0</v>
      </c>
      <c r="AB182" s="24">
        <f t="shared" si="6"/>
        <v>0</v>
      </c>
      <c r="AC182" s="24">
        <f t="shared" si="7"/>
        <v>0</v>
      </c>
      <c r="AD182" s="19"/>
    </row>
    <row r="183" ht="15.75" customHeight="1">
      <c r="B183" s="19"/>
      <c r="C183" s="20"/>
      <c r="D183" s="21"/>
      <c r="E183" s="22"/>
      <c r="F183" s="19"/>
      <c r="G183" s="23" t="str">
        <f t="array" ref="G183">IF(F183="","",IFERROR(INDEX(Clientas!$F$6:$F$55,MATCH(F183,Clientas!$C$6:$C$55,0)),""))</f>
        <v/>
      </c>
      <c r="H183" s="19"/>
      <c r="I183" s="19"/>
      <c r="J183" s="19"/>
      <c r="K183" s="19"/>
      <c r="L183" s="24">
        <f>IF(OR(I183="",J183="",G183=""),0,IF(G183="Local",SUMIFS(Servicios!$F$6:$F$39,Servicios!$D$6:$D$39,I183,Servicios!$E$6:$E$39,J183),SUMIFS(Servicios!$G$6:$G$39,Servicios!$D$6:$D$39,I183,Servicios!$E$6:$E$39,J183)))</f>
        <v>0</v>
      </c>
      <c r="M183" s="25"/>
      <c r="N183" s="24">
        <f t="shared" si="1"/>
        <v>0</v>
      </c>
      <c r="O183" s="25"/>
      <c r="P183" s="25"/>
      <c r="Q183" s="25"/>
      <c r="R183" s="24">
        <f t="shared" si="2"/>
        <v>0</v>
      </c>
      <c r="S183" s="24">
        <f t="shared" si="3"/>
        <v>0</v>
      </c>
      <c r="T183" s="19"/>
      <c r="U183" s="19"/>
      <c r="V183" s="19"/>
      <c r="W183" s="26" t="str">
        <f t="array" ref="W183">IF(H183="","",IFERROR(INDEX(Manicuristas!$D$6:$D$9,MATCH(H183,Manicuristas!$C$6:$C$9,0)),0))</f>
        <v/>
      </c>
      <c r="X183" s="26" t="str">
        <f t="array" ref="X183">IF(H183="","",IFERROR(INDEX(Manicuristas!$E$6:$E$9,MATCH(H183,Manicuristas!$C$6:$C$9,0)),0))</f>
        <v/>
      </c>
      <c r="Y183" s="26" t="str">
        <f t="array" ref="Y183">IF(H183="","",IFERROR(INDEX(Manicuristas!$F$6:$F$9,MATCH(H183,Manicuristas!$C$6:$C$9,0)),0))</f>
        <v/>
      </c>
      <c r="Z183" s="24">
        <f t="shared" si="4"/>
        <v>0</v>
      </c>
      <c r="AA183" s="24">
        <f t="shared" si="5"/>
        <v>0</v>
      </c>
      <c r="AB183" s="24">
        <f t="shared" si="6"/>
        <v>0</v>
      </c>
      <c r="AC183" s="24">
        <f t="shared" si="7"/>
        <v>0</v>
      </c>
      <c r="AD183" s="19"/>
    </row>
    <row r="184" ht="15.75" customHeight="1">
      <c r="B184" s="19"/>
      <c r="C184" s="20"/>
      <c r="D184" s="21"/>
      <c r="E184" s="22"/>
      <c r="F184" s="19"/>
      <c r="G184" s="23" t="str">
        <f t="array" ref="G184">IF(F184="","",IFERROR(INDEX(Clientas!$F$6:$F$55,MATCH(F184,Clientas!$C$6:$C$55,0)),""))</f>
        <v/>
      </c>
      <c r="H184" s="19"/>
      <c r="I184" s="19"/>
      <c r="J184" s="19"/>
      <c r="K184" s="19"/>
      <c r="L184" s="24">
        <f>IF(OR(I184="",J184="",G184=""),0,IF(G184="Local",SUMIFS(Servicios!$F$6:$F$39,Servicios!$D$6:$D$39,I184,Servicios!$E$6:$E$39,J184),SUMIFS(Servicios!$G$6:$G$39,Servicios!$D$6:$D$39,I184,Servicios!$E$6:$E$39,J184)))</f>
        <v>0</v>
      </c>
      <c r="M184" s="25"/>
      <c r="N184" s="24">
        <f t="shared" si="1"/>
        <v>0</v>
      </c>
      <c r="O184" s="25"/>
      <c r="P184" s="25"/>
      <c r="Q184" s="25"/>
      <c r="R184" s="24">
        <f t="shared" si="2"/>
        <v>0</v>
      </c>
      <c r="S184" s="24">
        <f t="shared" si="3"/>
        <v>0</v>
      </c>
      <c r="T184" s="19"/>
      <c r="U184" s="19"/>
      <c r="V184" s="19"/>
      <c r="W184" s="26" t="str">
        <f t="array" ref="W184">IF(H184="","",IFERROR(INDEX(Manicuristas!$D$6:$D$9,MATCH(H184,Manicuristas!$C$6:$C$9,0)),0))</f>
        <v/>
      </c>
      <c r="X184" s="26" t="str">
        <f t="array" ref="X184">IF(H184="","",IFERROR(INDEX(Manicuristas!$E$6:$E$9,MATCH(H184,Manicuristas!$C$6:$C$9,0)),0))</f>
        <v/>
      </c>
      <c r="Y184" s="26" t="str">
        <f t="array" ref="Y184">IF(H184="","",IFERROR(INDEX(Manicuristas!$F$6:$F$9,MATCH(H184,Manicuristas!$C$6:$C$9,0)),0))</f>
        <v/>
      </c>
      <c r="Z184" s="24">
        <f t="shared" si="4"/>
        <v>0</v>
      </c>
      <c r="AA184" s="24">
        <f t="shared" si="5"/>
        <v>0</v>
      </c>
      <c r="AB184" s="24">
        <f t="shared" si="6"/>
        <v>0</v>
      </c>
      <c r="AC184" s="24">
        <f t="shared" si="7"/>
        <v>0</v>
      </c>
      <c r="AD184" s="19"/>
    </row>
    <row r="185" ht="15.75" customHeight="1">
      <c r="B185" s="19"/>
      <c r="C185" s="20"/>
      <c r="D185" s="21"/>
      <c r="E185" s="22"/>
      <c r="F185" s="19"/>
      <c r="G185" s="23" t="str">
        <f t="array" ref="G185">IF(F185="","",IFERROR(INDEX(Clientas!$F$6:$F$55,MATCH(F185,Clientas!$C$6:$C$55,0)),""))</f>
        <v/>
      </c>
      <c r="H185" s="19"/>
      <c r="I185" s="19"/>
      <c r="J185" s="19"/>
      <c r="K185" s="19"/>
      <c r="L185" s="24">
        <f>IF(OR(I185="",J185="",G185=""),0,IF(G185="Local",SUMIFS(Servicios!$F$6:$F$39,Servicios!$D$6:$D$39,I185,Servicios!$E$6:$E$39,J185),SUMIFS(Servicios!$G$6:$G$39,Servicios!$D$6:$D$39,I185,Servicios!$E$6:$E$39,J185)))</f>
        <v>0</v>
      </c>
      <c r="M185" s="25"/>
      <c r="N185" s="24">
        <f t="shared" si="1"/>
        <v>0</v>
      </c>
      <c r="O185" s="25"/>
      <c r="P185" s="25"/>
      <c r="Q185" s="25"/>
      <c r="R185" s="24">
        <f t="shared" si="2"/>
        <v>0</v>
      </c>
      <c r="S185" s="24">
        <f t="shared" si="3"/>
        <v>0</v>
      </c>
      <c r="T185" s="19"/>
      <c r="U185" s="19"/>
      <c r="V185" s="19"/>
      <c r="W185" s="26" t="str">
        <f t="array" ref="W185">IF(H185="","",IFERROR(INDEX(Manicuristas!$D$6:$D$9,MATCH(H185,Manicuristas!$C$6:$C$9,0)),0))</f>
        <v/>
      </c>
      <c r="X185" s="26" t="str">
        <f t="array" ref="X185">IF(H185="","",IFERROR(INDEX(Manicuristas!$E$6:$E$9,MATCH(H185,Manicuristas!$C$6:$C$9,0)),0))</f>
        <v/>
      </c>
      <c r="Y185" s="26" t="str">
        <f t="array" ref="Y185">IF(H185="","",IFERROR(INDEX(Manicuristas!$F$6:$F$9,MATCH(H185,Manicuristas!$C$6:$C$9,0)),0))</f>
        <v/>
      </c>
      <c r="Z185" s="24">
        <f t="shared" si="4"/>
        <v>0</v>
      </c>
      <c r="AA185" s="24">
        <f t="shared" si="5"/>
        <v>0</v>
      </c>
      <c r="AB185" s="24">
        <f t="shared" si="6"/>
        <v>0</v>
      </c>
      <c r="AC185" s="24">
        <f t="shared" si="7"/>
        <v>0</v>
      </c>
      <c r="AD185" s="19"/>
    </row>
    <row r="186" ht="15.75" customHeight="1">
      <c r="B186" s="19"/>
      <c r="C186" s="20"/>
      <c r="D186" s="21"/>
      <c r="E186" s="22"/>
      <c r="F186" s="19"/>
      <c r="G186" s="23" t="str">
        <f t="array" ref="G186">IF(F186="","",IFERROR(INDEX(Clientas!$F$6:$F$55,MATCH(F186,Clientas!$C$6:$C$55,0)),""))</f>
        <v/>
      </c>
      <c r="H186" s="19"/>
      <c r="I186" s="19"/>
      <c r="J186" s="19"/>
      <c r="K186" s="19"/>
      <c r="L186" s="24">
        <f>IF(OR(I186="",J186="",G186=""),0,IF(G186="Local",SUMIFS(Servicios!$F$6:$F$39,Servicios!$D$6:$D$39,I186,Servicios!$E$6:$E$39,J186),SUMIFS(Servicios!$G$6:$G$39,Servicios!$D$6:$D$39,I186,Servicios!$E$6:$E$39,J186)))</f>
        <v>0</v>
      </c>
      <c r="M186" s="25"/>
      <c r="N186" s="24">
        <f t="shared" si="1"/>
        <v>0</v>
      </c>
      <c r="O186" s="25"/>
      <c r="P186" s="25"/>
      <c r="Q186" s="25"/>
      <c r="R186" s="24">
        <f t="shared" si="2"/>
        <v>0</v>
      </c>
      <c r="S186" s="24">
        <f t="shared" si="3"/>
        <v>0</v>
      </c>
      <c r="T186" s="19"/>
      <c r="U186" s="19"/>
      <c r="V186" s="19"/>
      <c r="W186" s="26" t="str">
        <f t="array" ref="W186">IF(H186="","",IFERROR(INDEX(Manicuristas!$D$6:$D$9,MATCH(H186,Manicuristas!$C$6:$C$9,0)),0))</f>
        <v/>
      </c>
      <c r="X186" s="26" t="str">
        <f t="array" ref="X186">IF(H186="","",IFERROR(INDEX(Manicuristas!$E$6:$E$9,MATCH(H186,Manicuristas!$C$6:$C$9,0)),0))</f>
        <v/>
      </c>
      <c r="Y186" s="26" t="str">
        <f t="array" ref="Y186">IF(H186="","",IFERROR(INDEX(Manicuristas!$F$6:$F$9,MATCH(H186,Manicuristas!$C$6:$C$9,0)),0))</f>
        <v/>
      </c>
      <c r="Z186" s="24">
        <f t="shared" si="4"/>
        <v>0</v>
      </c>
      <c r="AA186" s="24">
        <f t="shared" si="5"/>
        <v>0</v>
      </c>
      <c r="AB186" s="24">
        <f t="shared" si="6"/>
        <v>0</v>
      </c>
      <c r="AC186" s="24">
        <f t="shared" si="7"/>
        <v>0</v>
      </c>
      <c r="AD186" s="19"/>
    </row>
    <row r="187" ht="15.75" customHeight="1">
      <c r="B187" s="19"/>
      <c r="C187" s="20"/>
      <c r="D187" s="21"/>
      <c r="E187" s="22"/>
      <c r="F187" s="19"/>
      <c r="G187" s="23" t="str">
        <f t="array" ref="G187">IF(F187="","",IFERROR(INDEX(Clientas!$F$6:$F$55,MATCH(F187,Clientas!$C$6:$C$55,0)),""))</f>
        <v/>
      </c>
      <c r="H187" s="19"/>
      <c r="I187" s="19"/>
      <c r="J187" s="19"/>
      <c r="K187" s="19"/>
      <c r="L187" s="24">
        <f>IF(OR(I187="",J187="",G187=""),0,IF(G187="Local",SUMIFS(Servicios!$F$6:$F$39,Servicios!$D$6:$D$39,I187,Servicios!$E$6:$E$39,J187),SUMIFS(Servicios!$G$6:$G$39,Servicios!$D$6:$D$39,I187,Servicios!$E$6:$E$39,J187)))</f>
        <v>0</v>
      </c>
      <c r="M187" s="25"/>
      <c r="N187" s="24">
        <f t="shared" si="1"/>
        <v>0</v>
      </c>
      <c r="O187" s="25"/>
      <c r="P187" s="25"/>
      <c r="Q187" s="25"/>
      <c r="R187" s="24">
        <f t="shared" si="2"/>
        <v>0</v>
      </c>
      <c r="S187" s="24">
        <f t="shared" si="3"/>
        <v>0</v>
      </c>
      <c r="T187" s="19"/>
      <c r="U187" s="19"/>
      <c r="V187" s="19"/>
      <c r="W187" s="26" t="str">
        <f t="array" ref="W187">IF(H187="","",IFERROR(INDEX(Manicuristas!$D$6:$D$9,MATCH(H187,Manicuristas!$C$6:$C$9,0)),0))</f>
        <v/>
      </c>
      <c r="X187" s="26" t="str">
        <f t="array" ref="X187">IF(H187="","",IFERROR(INDEX(Manicuristas!$E$6:$E$9,MATCH(H187,Manicuristas!$C$6:$C$9,0)),0))</f>
        <v/>
      </c>
      <c r="Y187" s="26" t="str">
        <f t="array" ref="Y187">IF(H187="","",IFERROR(INDEX(Manicuristas!$F$6:$F$9,MATCH(H187,Manicuristas!$C$6:$C$9,0)),0))</f>
        <v/>
      </c>
      <c r="Z187" s="24">
        <f t="shared" si="4"/>
        <v>0</v>
      </c>
      <c r="AA187" s="24">
        <f t="shared" si="5"/>
        <v>0</v>
      </c>
      <c r="AB187" s="24">
        <f t="shared" si="6"/>
        <v>0</v>
      </c>
      <c r="AC187" s="24">
        <f t="shared" si="7"/>
        <v>0</v>
      </c>
      <c r="AD187" s="19"/>
    </row>
    <row r="188" ht="15.75" customHeight="1">
      <c r="B188" s="19"/>
      <c r="C188" s="20"/>
      <c r="D188" s="21"/>
      <c r="E188" s="22"/>
      <c r="F188" s="19"/>
      <c r="G188" s="23" t="str">
        <f t="array" ref="G188">IF(F188="","",IFERROR(INDEX(Clientas!$F$6:$F$55,MATCH(F188,Clientas!$C$6:$C$55,0)),""))</f>
        <v/>
      </c>
      <c r="H188" s="19"/>
      <c r="I188" s="19"/>
      <c r="J188" s="19"/>
      <c r="K188" s="19"/>
      <c r="L188" s="24">
        <f>IF(OR(I188="",J188="",G188=""),0,IF(G188="Local",SUMIFS(Servicios!$F$6:$F$39,Servicios!$D$6:$D$39,I188,Servicios!$E$6:$E$39,J188),SUMIFS(Servicios!$G$6:$G$39,Servicios!$D$6:$D$39,I188,Servicios!$E$6:$E$39,J188)))</f>
        <v>0</v>
      </c>
      <c r="M188" s="25"/>
      <c r="N188" s="24">
        <f t="shared" si="1"/>
        <v>0</v>
      </c>
      <c r="O188" s="25"/>
      <c r="P188" s="25"/>
      <c r="Q188" s="25"/>
      <c r="R188" s="24">
        <f t="shared" si="2"/>
        <v>0</v>
      </c>
      <c r="S188" s="24">
        <f t="shared" si="3"/>
        <v>0</v>
      </c>
      <c r="T188" s="19"/>
      <c r="U188" s="19"/>
      <c r="V188" s="19"/>
      <c r="W188" s="26" t="str">
        <f t="array" ref="W188">IF(H188="","",IFERROR(INDEX(Manicuristas!$D$6:$D$9,MATCH(H188,Manicuristas!$C$6:$C$9,0)),0))</f>
        <v/>
      </c>
      <c r="X188" s="26" t="str">
        <f t="array" ref="X188">IF(H188="","",IFERROR(INDEX(Manicuristas!$E$6:$E$9,MATCH(H188,Manicuristas!$C$6:$C$9,0)),0))</f>
        <v/>
      </c>
      <c r="Y188" s="26" t="str">
        <f t="array" ref="Y188">IF(H188="","",IFERROR(INDEX(Manicuristas!$F$6:$F$9,MATCH(H188,Manicuristas!$C$6:$C$9,0)),0))</f>
        <v/>
      </c>
      <c r="Z188" s="24">
        <f t="shared" si="4"/>
        <v>0</v>
      </c>
      <c r="AA188" s="24">
        <f t="shared" si="5"/>
        <v>0</v>
      </c>
      <c r="AB188" s="24">
        <f t="shared" si="6"/>
        <v>0</v>
      </c>
      <c r="AC188" s="24">
        <f t="shared" si="7"/>
        <v>0</v>
      </c>
      <c r="AD188" s="19"/>
    </row>
    <row r="189" ht="15.75" customHeight="1">
      <c r="B189" s="19"/>
      <c r="C189" s="20"/>
      <c r="D189" s="21"/>
      <c r="E189" s="22"/>
      <c r="F189" s="19"/>
      <c r="G189" s="23" t="str">
        <f t="array" ref="G189">IF(F189="","",IFERROR(INDEX(Clientas!$F$6:$F$55,MATCH(F189,Clientas!$C$6:$C$55,0)),""))</f>
        <v/>
      </c>
      <c r="H189" s="19"/>
      <c r="I189" s="19"/>
      <c r="J189" s="19"/>
      <c r="K189" s="19"/>
      <c r="L189" s="24">
        <f>IF(OR(I189="",J189="",G189=""),0,IF(G189="Local",SUMIFS(Servicios!$F$6:$F$39,Servicios!$D$6:$D$39,I189,Servicios!$E$6:$E$39,J189),SUMIFS(Servicios!$G$6:$G$39,Servicios!$D$6:$D$39,I189,Servicios!$E$6:$E$39,J189)))</f>
        <v>0</v>
      </c>
      <c r="M189" s="25"/>
      <c r="N189" s="24">
        <f t="shared" si="1"/>
        <v>0</v>
      </c>
      <c r="O189" s="25"/>
      <c r="P189" s="25"/>
      <c r="Q189" s="25"/>
      <c r="R189" s="24">
        <f t="shared" si="2"/>
        <v>0</v>
      </c>
      <c r="S189" s="24">
        <f t="shared" si="3"/>
        <v>0</v>
      </c>
      <c r="T189" s="19"/>
      <c r="U189" s="19"/>
      <c r="V189" s="19"/>
      <c r="W189" s="26" t="str">
        <f t="array" ref="W189">IF(H189="","",IFERROR(INDEX(Manicuristas!$D$6:$D$9,MATCH(H189,Manicuristas!$C$6:$C$9,0)),0))</f>
        <v/>
      </c>
      <c r="X189" s="26" t="str">
        <f t="array" ref="X189">IF(H189="","",IFERROR(INDEX(Manicuristas!$E$6:$E$9,MATCH(H189,Manicuristas!$C$6:$C$9,0)),0))</f>
        <v/>
      </c>
      <c r="Y189" s="26" t="str">
        <f t="array" ref="Y189">IF(H189="","",IFERROR(INDEX(Manicuristas!$F$6:$F$9,MATCH(H189,Manicuristas!$C$6:$C$9,0)),0))</f>
        <v/>
      </c>
      <c r="Z189" s="24">
        <f t="shared" si="4"/>
        <v>0</v>
      </c>
      <c r="AA189" s="24">
        <f t="shared" si="5"/>
        <v>0</v>
      </c>
      <c r="AB189" s="24">
        <f t="shared" si="6"/>
        <v>0</v>
      </c>
      <c r="AC189" s="24">
        <f t="shared" si="7"/>
        <v>0</v>
      </c>
      <c r="AD189" s="19"/>
    </row>
    <row r="190" ht="15.75" customHeight="1">
      <c r="B190" s="19"/>
      <c r="C190" s="20"/>
      <c r="D190" s="21"/>
      <c r="E190" s="22"/>
      <c r="F190" s="19"/>
      <c r="G190" s="23" t="str">
        <f t="array" ref="G190">IF(F190="","",IFERROR(INDEX(Clientas!$F$6:$F$55,MATCH(F190,Clientas!$C$6:$C$55,0)),""))</f>
        <v/>
      </c>
      <c r="H190" s="19"/>
      <c r="I190" s="19"/>
      <c r="J190" s="19"/>
      <c r="K190" s="19"/>
      <c r="L190" s="24">
        <f>IF(OR(I190="",J190="",G190=""),0,IF(G190="Local",SUMIFS(Servicios!$F$6:$F$39,Servicios!$D$6:$D$39,I190,Servicios!$E$6:$E$39,J190),SUMIFS(Servicios!$G$6:$G$39,Servicios!$D$6:$D$39,I190,Servicios!$E$6:$E$39,J190)))</f>
        <v>0</v>
      </c>
      <c r="M190" s="25"/>
      <c r="N190" s="24">
        <f t="shared" si="1"/>
        <v>0</v>
      </c>
      <c r="O190" s="25"/>
      <c r="P190" s="25"/>
      <c r="Q190" s="25"/>
      <c r="R190" s="24">
        <f t="shared" si="2"/>
        <v>0</v>
      </c>
      <c r="S190" s="24">
        <f t="shared" si="3"/>
        <v>0</v>
      </c>
      <c r="T190" s="19"/>
      <c r="U190" s="19"/>
      <c r="V190" s="19"/>
      <c r="W190" s="26" t="str">
        <f t="array" ref="W190">IF(H190="","",IFERROR(INDEX(Manicuristas!$D$6:$D$9,MATCH(H190,Manicuristas!$C$6:$C$9,0)),0))</f>
        <v/>
      </c>
      <c r="X190" s="26" t="str">
        <f t="array" ref="X190">IF(H190="","",IFERROR(INDEX(Manicuristas!$E$6:$E$9,MATCH(H190,Manicuristas!$C$6:$C$9,0)),0))</f>
        <v/>
      </c>
      <c r="Y190" s="26" t="str">
        <f t="array" ref="Y190">IF(H190="","",IFERROR(INDEX(Manicuristas!$F$6:$F$9,MATCH(H190,Manicuristas!$C$6:$C$9,0)),0))</f>
        <v/>
      </c>
      <c r="Z190" s="24">
        <f t="shared" si="4"/>
        <v>0</v>
      </c>
      <c r="AA190" s="24">
        <f t="shared" si="5"/>
        <v>0</v>
      </c>
      <c r="AB190" s="24">
        <f t="shared" si="6"/>
        <v>0</v>
      </c>
      <c r="AC190" s="24">
        <f t="shared" si="7"/>
        <v>0</v>
      </c>
      <c r="AD190" s="19"/>
    </row>
    <row r="191" ht="15.75" customHeight="1">
      <c r="B191" s="19"/>
      <c r="C191" s="20"/>
      <c r="D191" s="21"/>
      <c r="E191" s="22"/>
      <c r="F191" s="19"/>
      <c r="G191" s="23" t="str">
        <f t="array" ref="G191">IF(F191="","",IFERROR(INDEX(Clientas!$F$6:$F$55,MATCH(F191,Clientas!$C$6:$C$55,0)),""))</f>
        <v/>
      </c>
      <c r="H191" s="19"/>
      <c r="I191" s="19"/>
      <c r="J191" s="19"/>
      <c r="K191" s="19"/>
      <c r="L191" s="24">
        <f>IF(OR(I191="",J191="",G191=""),0,IF(G191="Local",SUMIFS(Servicios!$F$6:$F$39,Servicios!$D$6:$D$39,I191,Servicios!$E$6:$E$39,J191),SUMIFS(Servicios!$G$6:$G$39,Servicios!$D$6:$D$39,I191,Servicios!$E$6:$E$39,J191)))</f>
        <v>0</v>
      </c>
      <c r="M191" s="25"/>
      <c r="N191" s="24">
        <f t="shared" si="1"/>
        <v>0</v>
      </c>
      <c r="O191" s="25"/>
      <c r="P191" s="25"/>
      <c r="Q191" s="25"/>
      <c r="R191" s="24">
        <f t="shared" si="2"/>
        <v>0</v>
      </c>
      <c r="S191" s="24">
        <f t="shared" si="3"/>
        <v>0</v>
      </c>
      <c r="T191" s="19"/>
      <c r="U191" s="19"/>
      <c r="V191" s="19"/>
      <c r="W191" s="26" t="str">
        <f t="array" ref="W191">IF(H191="","",IFERROR(INDEX(Manicuristas!$D$6:$D$9,MATCH(H191,Manicuristas!$C$6:$C$9,0)),0))</f>
        <v/>
      </c>
      <c r="X191" s="26" t="str">
        <f t="array" ref="X191">IF(H191="","",IFERROR(INDEX(Manicuristas!$E$6:$E$9,MATCH(H191,Manicuristas!$C$6:$C$9,0)),0))</f>
        <v/>
      </c>
      <c r="Y191" s="26" t="str">
        <f t="array" ref="Y191">IF(H191="","",IFERROR(INDEX(Manicuristas!$F$6:$F$9,MATCH(H191,Manicuristas!$C$6:$C$9,0)),0))</f>
        <v/>
      </c>
      <c r="Z191" s="24">
        <f t="shared" si="4"/>
        <v>0</v>
      </c>
      <c r="AA191" s="24">
        <f t="shared" si="5"/>
        <v>0</v>
      </c>
      <c r="AB191" s="24">
        <f t="shared" si="6"/>
        <v>0</v>
      </c>
      <c r="AC191" s="24">
        <f t="shared" si="7"/>
        <v>0</v>
      </c>
      <c r="AD191" s="19"/>
    </row>
    <row r="192" ht="15.75" customHeight="1">
      <c r="B192" s="19"/>
      <c r="C192" s="20"/>
      <c r="D192" s="21"/>
      <c r="E192" s="22"/>
      <c r="F192" s="19"/>
      <c r="G192" s="23" t="str">
        <f t="array" ref="G192">IF(F192="","",IFERROR(INDEX(Clientas!$F$6:$F$55,MATCH(F192,Clientas!$C$6:$C$55,0)),""))</f>
        <v/>
      </c>
      <c r="H192" s="19"/>
      <c r="I192" s="19"/>
      <c r="J192" s="19"/>
      <c r="K192" s="19"/>
      <c r="L192" s="24">
        <f>IF(OR(I192="",J192="",G192=""),0,IF(G192="Local",SUMIFS(Servicios!$F$6:$F$39,Servicios!$D$6:$D$39,I192,Servicios!$E$6:$E$39,J192),SUMIFS(Servicios!$G$6:$G$39,Servicios!$D$6:$D$39,I192,Servicios!$E$6:$E$39,J192)))</f>
        <v>0</v>
      </c>
      <c r="M192" s="25"/>
      <c r="N192" s="24">
        <f t="shared" si="1"/>
        <v>0</v>
      </c>
      <c r="O192" s="25"/>
      <c r="P192" s="25"/>
      <c r="Q192" s="25"/>
      <c r="R192" s="24">
        <f t="shared" si="2"/>
        <v>0</v>
      </c>
      <c r="S192" s="24">
        <f t="shared" si="3"/>
        <v>0</v>
      </c>
      <c r="T192" s="19"/>
      <c r="U192" s="19"/>
      <c r="V192" s="19"/>
      <c r="W192" s="26" t="str">
        <f t="array" ref="W192">IF(H192="","",IFERROR(INDEX(Manicuristas!$D$6:$D$9,MATCH(H192,Manicuristas!$C$6:$C$9,0)),0))</f>
        <v/>
      </c>
      <c r="X192" s="26" t="str">
        <f t="array" ref="X192">IF(H192="","",IFERROR(INDEX(Manicuristas!$E$6:$E$9,MATCH(H192,Manicuristas!$C$6:$C$9,0)),0))</f>
        <v/>
      </c>
      <c r="Y192" s="26" t="str">
        <f t="array" ref="Y192">IF(H192="","",IFERROR(INDEX(Manicuristas!$F$6:$F$9,MATCH(H192,Manicuristas!$C$6:$C$9,0)),0))</f>
        <v/>
      </c>
      <c r="Z192" s="24">
        <f t="shared" si="4"/>
        <v>0</v>
      </c>
      <c r="AA192" s="24">
        <f t="shared" si="5"/>
        <v>0</v>
      </c>
      <c r="AB192" s="24">
        <f t="shared" si="6"/>
        <v>0</v>
      </c>
      <c r="AC192" s="24">
        <f t="shared" si="7"/>
        <v>0</v>
      </c>
      <c r="AD192" s="19"/>
    </row>
    <row r="193" ht="15.75" customHeight="1">
      <c r="B193" s="19"/>
      <c r="C193" s="20"/>
      <c r="D193" s="21"/>
      <c r="E193" s="22"/>
      <c r="F193" s="19"/>
      <c r="G193" s="23" t="str">
        <f t="array" ref="G193">IF(F193="","",IFERROR(INDEX(Clientas!$F$6:$F$55,MATCH(F193,Clientas!$C$6:$C$55,0)),""))</f>
        <v/>
      </c>
      <c r="H193" s="19"/>
      <c r="I193" s="19"/>
      <c r="J193" s="19"/>
      <c r="K193" s="19"/>
      <c r="L193" s="24">
        <f>IF(OR(I193="",J193="",G193=""),0,IF(G193="Local",SUMIFS(Servicios!$F$6:$F$39,Servicios!$D$6:$D$39,I193,Servicios!$E$6:$E$39,J193),SUMIFS(Servicios!$G$6:$G$39,Servicios!$D$6:$D$39,I193,Servicios!$E$6:$E$39,J193)))</f>
        <v>0</v>
      </c>
      <c r="M193" s="25"/>
      <c r="N193" s="24">
        <f t="shared" si="1"/>
        <v>0</v>
      </c>
      <c r="O193" s="25"/>
      <c r="P193" s="25"/>
      <c r="Q193" s="25"/>
      <c r="R193" s="24">
        <f t="shared" si="2"/>
        <v>0</v>
      </c>
      <c r="S193" s="24">
        <f t="shared" si="3"/>
        <v>0</v>
      </c>
      <c r="T193" s="19"/>
      <c r="U193" s="19"/>
      <c r="V193" s="19"/>
      <c r="W193" s="26" t="str">
        <f t="array" ref="W193">IF(H193="","",IFERROR(INDEX(Manicuristas!$D$6:$D$9,MATCH(H193,Manicuristas!$C$6:$C$9,0)),0))</f>
        <v/>
      </c>
      <c r="X193" s="26" t="str">
        <f t="array" ref="X193">IF(H193="","",IFERROR(INDEX(Manicuristas!$E$6:$E$9,MATCH(H193,Manicuristas!$C$6:$C$9,0)),0))</f>
        <v/>
      </c>
      <c r="Y193" s="26" t="str">
        <f t="array" ref="Y193">IF(H193="","",IFERROR(INDEX(Manicuristas!$F$6:$F$9,MATCH(H193,Manicuristas!$C$6:$C$9,0)),0))</f>
        <v/>
      </c>
      <c r="Z193" s="24">
        <f t="shared" si="4"/>
        <v>0</v>
      </c>
      <c r="AA193" s="24">
        <f t="shared" si="5"/>
        <v>0</v>
      </c>
      <c r="AB193" s="24">
        <f t="shared" si="6"/>
        <v>0</v>
      </c>
      <c r="AC193" s="24">
        <f t="shared" si="7"/>
        <v>0</v>
      </c>
      <c r="AD193" s="19"/>
    </row>
    <row r="194" ht="15.75" customHeight="1">
      <c r="B194" s="19"/>
      <c r="C194" s="20"/>
      <c r="D194" s="21"/>
      <c r="E194" s="22"/>
      <c r="F194" s="19"/>
      <c r="G194" s="23" t="str">
        <f t="array" ref="G194">IF(F194="","",IFERROR(INDEX(Clientas!$F$6:$F$55,MATCH(F194,Clientas!$C$6:$C$55,0)),""))</f>
        <v/>
      </c>
      <c r="H194" s="19"/>
      <c r="I194" s="19"/>
      <c r="J194" s="19"/>
      <c r="K194" s="19"/>
      <c r="L194" s="24">
        <f>IF(OR(I194="",J194="",G194=""),0,IF(G194="Local",SUMIFS(Servicios!$F$6:$F$39,Servicios!$D$6:$D$39,I194,Servicios!$E$6:$E$39,J194),SUMIFS(Servicios!$G$6:$G$39,Servicios!$D$6:$D$39,I194,Servicios!$E$6:$E$39,J194)))</f>
        <v>0</v>
      </c>
      <c r="M194" s="25"/>
      <c r="N194" s="24">
        <f t="shared" si="1"/>
        <v>0</v>
      </c>
      <c r="O194" s="25"/>
      <c r="P194" s="25"/>
      <c r="Q194" s="25"/>
      <c r="R194" s="24">
        <f t="shared" si="2"/>
        <v>0</v>
      </c>
      <c r="S194" s="24">
        <f t="shared" si="3"/>
        <v>0</v>
      </c>
      <c r="T194" s="19"/>
      <c r="U194" s="19"/>
      <c r="V194" s="19"/>
      <c r="W194" s="26" t="str">
        <f t="array" ref="W194">IF(H194="","",IFERROR(INDEX(Manicuristas!$D$6:$D$9,MATCH(H194,Manicuristas!$C$6:$C$9,0)),0))</f>
        <v/>
      </c>
      <c r="X194" s="26" t="str">
        <f t="array" ref="X194">IF(H194="","",IFERROR(INDEX(Manicuristas!$E$6:$E$9,MATCH(H194,Manicuristas!$C$6:$C$9,0)),0))</f>
        <v/>
      </c>
      <c r="Y194" s="26" t="str">
        <f t="array" ref="Y194">IF(H194="","",IFERROR(INDEX(Manicuristas!$F$6:$F$9,MATCH(H194,Manicuristas!$C$6:$C$9,0)),0))</f>
        <v/>
      </c>
      <c r="Z194" s="24">
        <f t="shared" si="4"/>
        <v>0</v>
      </c>
      <c r="AA194" s="24">
        <f t="shared" si="5"/>
        <v>0</v>
      </c>
      <c r="AB194" s="24">
        <f t="shared" si="6"/>
        <v>0</v>
      </c>
      <c r="AC194" s="24">
        <f t="shared" si="7"/>
        <v>0</v>
      </c>
      <c r="AD194" s="19"/>
    </row>
    <row r="195" ht="15.75" customHeight="1">
      <c r="B195" s="19"/>
      <c r="C195" s="20"/>
      <c r="D195" s="21"/>
      <c r="E195" s="22"/>
      <c r="F195" s="19"/>
      <c r="G195" s="23" t="str">
        <f t="array" ref="G195">IF(F195="","",IFERROR(INDEX(Clientas!$F$6:$F$55,MATCH(F195,Clientas!$C$6:$C$55,0)),""))</f>
        <v/>
      </c>
      <c r="H195" s="19"/>
      <c r="I195" s="19"/>
      <c r="J195" s="19"/>
      <c r="K195" s="19"/>
      <c r="L195" s="24">
        <f>IF(OR(I195="",J195="",G195=""),0,IF(G195="Local",SUMIFS(Servicios!$F$6:$F$39,Servicios!$D$6:$D$39,I195,Servicios!$E$6:$E$39,J195),SUMIFS(Servicios!$G$6:$G$39,Servicios!$D$6:$D$39,I195,Servicios!$E$6:$E$39,J195)))</f>
        <v>0</v>
      </c>
      <c r="M195" s="25"/>
      <c r="N195" s="24">
        <f t="shared" si="1"/>
        <v>0</v>
      </c>
      <c r="O195" s="25"/>
      <c r="P195" s="25"/>
      <c r="Q195" s="25"/>
      <c r="R195" s="24">
        <f t="shared" si="2"/>
        <v>0</v>
      </c>
      <c r="S195" s="24">
        <f t="shared" si="3"/>
        <v>0</v>
      </c>
      <c r="T195" s="19"/>
      <c r="U195" s="19"/>
      <c r="V195" s="19"/>
      <c r="W195" s="26" t="str">
        <f t="array" ref="W195">IF(H195="","",IFERROR(INDEX(Manicuristas!$D$6:$D$9,MATCH(H195,Manicuristas!$C$6:$C$9,0)),0))</f>
        <v/>
      </c>
      <c r="X195" s="26" t="str">
        <f t="array" ref="X195">IF(H195="","",IFERROR(INDEX(Manicuristas!$E$6:$E$9,MATCH(H195,Manicuristas!$C$6:$C$9,0)),0))</f>
        <v/>
      </c>
      <c r="Y195" s="26" t="str">
        <f t="array" ref="Y195">IF(H195="","",IFERROR(INDEX(Manicuristas!$F$6:$F$9,MATCH(H195,Manicuristas!$C$6:$C$9,0)),0))</f>
        <v/>
      </c>
      <c r="Z195" s="24">
        <f t="shared" si="4"/>
        <v>0</v>
      </c>
      <c r="AA195" s="24">
        <f t="shared" si="5"/>
        <v>0</v>
      </c>
      <c r="AB195" s="24">
        <f t="shared" si="6"/>
        <v>0</v>
      </c>
      <c r="AC195" s="24">
        <f t="shared" si="7"/>
        <v>0</v>
      </c>
      <c r="AD195" s="19"/>
    </row>
    <row r="196" ht="15.75" customHeight="1">
      <c r="B196" s="19"/>
      <c r="C196" s="20"/>
      <c r="D196" s="21"/>
      <c r="E196" s="22"/>
      <c r="F196" s="19"/>
      <c r="G196" s="23" t="str">
        <f t="array" ref="G196">IF(F196="","",IFERROR(INDEX(Clientas!$F$6:$F$55,MATCH(F196,Clientas!$C$6:$C$55,0)),""))</f>
        <v/>
      </c>
      <c r="H196" s="19"/>
      <c r="I196" s="19"/>
      <c r="J196" s="19"/>
      <c r="K196" s="19"/>
      <c r="L196" s="24">
        <f>IF(OR(I196="",J196="",G196=""),0,IF(G196="Local",SUMIFS(Servicios!$F$6:$F$39,Servicios!$D$6:$D$39,I196,Servicios!$E$6:$E$39,J196),SUMIFS(Servicios!$G$6:$G$39,Servicios!$D$6:$D$39,I196,Servicios!$E$6:$E$39,J196)))</f>
        <v>0</v>
      </c>
      <c r="M196" s="25"/>
      <c r="N196" s="24">
        <f t="shared" si="1"/>
        <v>0</v>
      </c>
      <c r="O196" s="25"/>
      <c r="P196" s="25"/>
      <c r="Q196" s="25"/>
      <c r="R196" s="24">
        <f t="shared" si="2"/>
        <v>0</v>
      </c>
      <c r="S196" s="24">
        <f t="shared" si="3"/>
        <v>0</v>
      </c>
      <c r="T196" s="19"/>
      <c r="U196" s="19"/>
      <c r="V196" s="19"/>
      <c r="W196" s="26" t="str">
        <f t="array" ref="W196">IF(H196="","",IFERROR(INDEX(Manicuristas!$D$6:$D$9,MATCH(H196,Manicuristas!$C$6:$C$9,0)),0))</f>
        <v/>
      </c>
      <c r="X196" s="26" t="str">
        <f t="array" ref="X196">IF(H196="","",IFERROR(INDEX(Manicuristas!$E$6:$E$9,MATCH(H196,Manicuristas!$C$6:$C$9,0)),0))</f>
        <v/>
      </c>
      <c r="Y196" s="26" t="str">
        <f t="array" ref="Y196">IF(H196="","",IFERROR(INDEX(Manicuristas!$F$6:$F$9,MATCH(H196,Manicuristas!$C$6:$C$9,0)),0))</f>
        <v/>
      </c>
      <c r="Z196" s="24">
        <f t="shared" si="4"/>
        <v>0</v>
      </c>
      <c r="AA196" s="24">
        <f t="shared" si="5"/>
        <v>0</v>
      </c>
      <c r="AB196" s="24">
        <f t="shared" si="6"/>
        <v>0</v>
      </c>
      <c r="AC196" s="24">
        <f t="shared" si="7"/>
        <v>0</v>
      </c>
      <c r="AD196" s="19"/>
    </row>
    <row r="197" ht="15.75" customHeight="1">
      <c r="B197" s="19"/>
      <c r="C197" s="20"/>
      <c r="D197" s="21"/>
      <c r="E197" s="22"/>
      <c r="F197" s="19"/>
      <c r="G197" s="23" t="str">
        <f t="array" ref="G197">IF(F197="","",IFERROR(INDEX(Clientas!$F$6:$F$55,MATCH(F197,Clientas!$C$6:$C$55,0)),""))</f>
        <v/>
      </c>
      <c r="H197" s="19"/>
      <c r="I197" s="19"/>
      <c r="J197" s="19"/>
      <c r="K197" s="19"/>
      <c r="L197" s="24">
        <f>IF(OR(I197="",J197="",G197=""),0,IF(G197="Local",SUMIFS(Servicios!$F$6:$F$39,Servicios!$D$6:$D$39,I197,Servicios!$E$6:$E$39,J197),SUMIFS(Servicios!$G$6:$G$39,Servicios!$D$6:$D$39,I197,Servicios!$E$6:$E$39,J197)))</f>
        <v>0</v>
      </c>
      <c r="M197" s="25"/>
      <c r="N197" s="24">
        <f t="shared" si="1"/>
        <v>0</v>
      </c>
      <c r="O197" s="25"/>
      <c r="P197" s="25"/>
      <c r="Q197" s="25"/>
      <c r="R197" s="24">
        <f t="shared" si="2"/>
        <v>0</v>
      </c>
      <c r="S197" s="24">
        <f t="shared" si="3"/>
        <v>0</v>
      </c>
      <c r="T197" s="19"/>
      <c r="U197" s="19"/>
      <c r="V197" s="19"/>
      <c r="W197" s="26" t="str">
        <f t="array" ref="W197">IF(H197="","",IFERROR(INDEX(Manicuristas!$D$6:$D$9,MATCH(H197,Manicuristas!$C$6:$C$9,0)),0))</f>
        <v/>
      </c>
      <c r="X197" s="26" t="str">
        <f t="array" ref="X197">IF(H197="","",IFERROR(INDEX(Manicuristas!$E$6:$E$9,MATCH(H197,Manicuristas!$C$6:$C$9,0)),0))</f>
        <v/>
      </c>
      <c r="Y197" s="26" t="str">
        <f t="array" ref="Y197">IF(H197="","",IFERROR(INDEX(Manicuristas!$F$6:$F$9,MATCH(H197,Manicuristas!$C$6:$C$9,0)),0))</f>
        <v/>
      </c>
      <c r="Z197" s="24">
        <f t="shared" si="4"/>
        <v>0</v>
      </c>
      <c r="AA197" s="24">
        <f t="shared" si="5"/>
        <v>0</v>
      </c>
      <c r="AB197" s="24">
        <f t="shared" si="6"/>
        <v>0</v>
      </c>
      <c r="AC197" s="24">
        <f t="shared" si="7"/>
        <v>0</v>
      </c>
      <c r="AD197" s="19"/>
    </row>
    <row r="198" ht="15.75" customHeight="1">
      <c r="B198" s="19"/>
      <c r="C198" s="20"/>
      <c r="D198" s="21"/>
      <c r="E198" s="22"/>
      <c r="F198" s="19"/>
      <c r="G198" s="23" t="str">
        <f t="array" ref="G198">IF(F198="","",IFERROR(INDEX(Clientas!$F$6:$F$55,MATCH(F198,Clientas!$C$6:$C$55,0)),""))</f>
        <v/>
      </c>
      <c r="H198" s="19"/>
      <c r="I198" s="19"/>
      <c r="J198" s="19"/>
      <c r="K198" s="19"/>
      <c r="L198" s="24">
        <f>IF(OR(I198="",J198="",G198=""),0,IF(G198="Local",SUMIFS(Servicios!$F$6:$F$39,Servicios!$D$6:$D$39,I198,Servicios!$E$6:$E$39,J198),SUMIFS(Servicios!$G$6:$G$39,Servicios!$D$6:$D$39,I198,Servicios!$E$6:$E$39,J198)))</f>
        <v>0</v>
      </c>
      <c r="M198" s="25"/>
      <c r="N198" s="24">
        <f t="shared" si="1"/>
        <v>0</v>
      </c>
      <c r="O198" s="25"/>
      <c r="P198" s="25"/>
      <c r="Q198" s="25"/>
      <c r="R198" s="24">
        <f t="shared" si="2"/>
        <v>0</v>
      </c>
      <c r="S198" s="24">
        <f t="shared" si="3"/>
        <v>0</v>
      </c>
      <c r="T198" s="19"/>
      <c r="U198" s="19"/>
      <c r="V198" s="19"/>
      <c r="W198" s="26" t="str">
        <f t="array" ref="W198">IF(H198="","",IFERROR(INDEX(Manicuristas!$D$6:$D$9,MATCH(H198,Manicuristas!$C$6:$C$9,0)),0))</f>
        <v/>
      </c>
      <c r="X198" s="26" t="str">
        <f t="array" ref="X198">IF(H198="","",IFERROR(INDEX(Manicuristas!$E$6:$E$9,MATCH(H198,Manicuristas!$C$6:$C$9,0)),0))</f>
        <v/>
      </c>
      <c r="Y198" s="26" t="str">
        <f t="array" ref="Y198">IF(H198="","",IFERROR(INDEX(Manicuristas!$F$6:$F$9,MATCH(H198,Manicuristas!$C$6:$C$9,0)),0))</f>
        <v/>
      </c>
      <c r="Z198" s="24">
        <f t="shared" si="4"/>
        <v>0</v>
      </c>
      <c r="AA198" s="24">
        <f t="shared" si="5"/>
        <v>0</v>
      </c>
      <c r="AB198" s="24">
        <f t="shared" si="6"/>
        <v>0</v>
      </c>
      <c r="AC198" s="24">
        <f t="shared" si="7"/>
        <v>0</v>
      </c>
      <c r="AD198" s="19"/>
    </row>
    <row r="199" ht="15.75" customHeight="1">
      <c r="B199" s="19"/>
      <c r="C199" s="20"/>
      <c r="D199" s="21"/>
      <c r="E199" s="22"/>
      <c r="F199" s="19"/>
      <c r="G199" s="23" t="str">
        <f t="array" ref="G199">IF(F199="","",IFERROR(INDEX(Clientas!$F$6:$F$55,MATCH(F199,Clientas!$C$6:$C$55,0)),""))</f>
        <v/>
      </c>
      <c r="H199" s="19"/>
      <c r="I199" s="19"/>
      <c r="J199" s="19"/>
      <c r="K199" s="19"/>
      <c r="L199" s="24">
        <f>IF(OR(I199="",J199="",G199=""),0,IF(G199="Local",SUMIFS(Servicios!$F$6:$F$39,Servicios!$D$6:$D$39,I199,Servicios!$E$6:$E$39,J199),SUMIFS(Servicios!$G$6:$G$39,Servicios!$D$6:$D$39,I199,Servicios!$E$6:$E$39,J199)))</f>
        <v>0</v>
      </c>
      <c r="M199" s="25"/>
      <c r="N199" s="24">
        <f t="shared" si="1"/>
        <v>0</v>
      </c>
      <c r="O199" s="25"/>
      <c r="P199" s="25"/>
      <c r="Q199" s="25"/>
      <c r="R199" s="24">
        <f t="shared" si="2"/>
        <v>0</v>
      </c>
      <c r="S199" s="24">
        <f t="shared" si="3"/>
        <v>0</v>
      </c>
      <c r="T199" s="19"/>
      <c r="U199" s="19"/>
      <c r="V199" s="19"/>
      <c r="W199" s="26" t="str">
        <f t="array" ref="W199">IF(H199="","",IFERROR(INDEX(Manicuristas!$D$6:$D$9,MATCH(H199,Manicuristas!$C$6:$C$9,0)),0))</f>
        <v/>
      </c>
      <c r="X199" s="26" t="str">
        <f t="array" ref="X199">IF(H199="","",IFERROR(INDEX(Manicuristas!$E$6:$E$9,MATCH(H199,Manicuristas!$C$6:$C$9,0)),0))</f>
        <v/>
      </c>
      <c r="Y199" s="26" t="str">
        <f t="array" ref="Y199">IF(H199="","",IFERROR(INDEX(Manicuristas!$F$6:$F$9,MATCH(H199,Manicuristas!$C$6:$C$9,0)),0))</f>
        <v/>
      </c>
      <c r="Z199" s="24">
        <f t="shared" si="4"/>
        <v>0</v>
      </c>
      <c r="AA199" s="24">
        <f t="shared" si="5"/>
        <v>0</v>
      </c>
      <c r="AB199" s="24">
        <f t="shared" si="6"/>
        <v>0</v>
      </c>
      <c r="AC199" s="24">
        <f t="shared" si="7"/>
        <v>0</v>
      </c>
      <c r="AD199" s="19"/>
    </row>
    <row r="200" ht="15.75" customHeight="1">
      <c r="B200" s="19"/>
      <c r="C200" s="20"/>
      <c r="D200" s="21"/>
      <c r="E200" s="22"/>
      <c r="F200" s="19"/>
      <c r="G200" s="23" t="str">
        <f t="array" ref="G200">IF(F200="","",IFERROR(INDEX(Clientas!$F$6:$F$55,MATCH(F200,Clientas!$C$6:$C$55,0)),""))</f>
        <v/>
      </c>
      <c r="H200" s="19"/>
      <c r="I200" s="19"/>
      <c r="J200" s="19"/>
      <c r="K200" s="19"/>
      <c r="L200" s="24">
        <f>IF(OR(I200="",J200="",G200=""),0,IF(G200="Local",SUMIFS(Servicios!$F$6:$F$39,Servicios!$D$6:$D$39,I200,Servicios!$E$6:$E$39,J200),SUMIFS(Servicios!$G$6:$G$39,Servicios!$D$6:$D$39,I200,Servicios!$E$6:$E$39,J200)))</f>
        <v>0</v>
      </c>
      <c r="M200" s="25"/>
      <c r="N200" s="24">
        <f t="shared" si="1"/>
        <v>0</v>
      </c>
      <c r="O200" s="25"/>
      <c r="P200" s="25"/>
      <c r="Q200" s="25"/>
      <c r="R200" s="24">
        <f t="shared" si="2"/>
        <v>0</v>
      </c>
      <c r="S200" s="24">
        <f t="shared" si="3"/>
        <v>0</v>
      </c>
      <c r="T200" s="19"/>
      <c r="U200" s="19"/>
      <c r="V200" s="19"/>
      <c r="W200" s="26" t="str">
        <f t="array" ref="W200">IF(H200="","",IFERROR(INDEX(Manicuristas!$D$6:$D$9,MATCH(H200,Manicuristas!$C$6:$C$9,0)),0))</f>
        <v/>
      </c>
      <c r="X200" s="26" t="str">
        <f t="array" ref="X200">IF(H200="","",IFERROR(INDEX(Manicuristas!$E$6:$E$9,MATCH(H200,Manicuristas!$C$6:$C$9,0)),0))</f>
        <v/>
      </c>
      <c r="Y200" s="26" t="str">
        <f t="array" ref="Y200">IF(H200="","",IFERROR(INDEX(Manicuristas!$F$6:$F$9,MATCH(H200,Manicuristas!$C$6:$C$9,0)),0))</f>
        <v/>
      </c>
      <c r="Z200" s="24">
        <f t="shared" si="4"/>
        <v>0</v>
      </c>
      <c r="AA200" s="24">
        <f t="shared" si="5"/>
        <v>0</v>
      </c>
      <c r="AB200" s="24">
        <f t="shared" si="6"/>
        <v>0</v>
      </c>
      <c r="AC200" s="24">
        <f t="shared" si="7"/>
        <v>0</v>
      </c>
      <c r="AD200" s="19"/>
    </row>
    <row r="201" ht="15.75" customHeight="1">
      <c r="B201" s="19"/>
      <c r="C201" s="20"/>
      <c r="D201" s="21"/>
      <c r="E201" s="22"/>
      <c r="F201" s="19"/>
      <c r="G201" s="23" t="str">
        <f t="array" ref="G201">IF(F201="","",IFERROR(INDEX(Clientas!$F$6:$F$55,MATCH(F201,Clientas!$C$6:$C$55,0)),""))</f>
        <v/>
      </c>
      <c r="H201" s="19"/>
      <c r="I201" s="19"/>
      <c r="J201" s="19"/>
      <c r="K201" s="19"/>
      <c r="L201" s="24">
        <f>IF(OR(I201="",J201="",G201=""),0,IF(G201="Local",SUMIFS(Servicios!$F$6:$F$39,Servicios!$D$6:$D$39,I201,Servicios!$E$6:$E$39,J201),SUMIFS(Servicios!$G$6:$G$39,Servicios!$D$6:$D$39,I201,Servicios!$E$6:$E$39,J201)))</f>
        <v>0</v>
      </c>
      <c r="M201" s="25"/>
      <c r="N201" s="24">
        <f t="shared" si="1"/>
        <v>0</v>
      </c>
      <c r="O201" s="25"/>
      <c r="P201" s="25"/>
      <c r="Q201" s="25"/>
      <c r="R201" s="24">
        <f t="shared" si="2"/>
        <v>0</v>
      </c>
      <c r="S201" s="24">
        <f t="shared" si="3"/>
        <v>0</v>
      </c>
      <c r="T201" s="19"/>
      <c r="U201" s="19"/>
      <c r="V201" s="19"/>
      <c r="W201" s="26" t="str">
        <f t="array" ref="W201">IF(H201="","",IFERROR(INDEX(Manicuristas!$D$6:$D$9,MATCH(H201,Manicuristas!$C$6:$C$9,0)),0))</f>
        <v/>
      </c>
      <c r="X201" s="26" t="str">
        <f t="array" ref="X201">IF(H201="","",IFERROR(INDEX(Manicuristas!$E$6:$E$9,MATCH(H201,Manicuristas!$C$6:$C$9,0)),0))</f>
        <v/>
      </c>
      <c r="Y201" s="26" t="str">
        <f t="array" ref="Y201">IF(H201="","",IFERROR(INDEX(Manicuristas!$F$6:$F$9,MATCH(H201,Manicuristas!$C$6:$C$9,0)),0))</f>
        <v/>
      </c>
      <c r="Z201" s="24">
        <f t="shared" si="4"/>
        <v>0</v>
      </c>
      <c r="AA201" s="24">
        <f t="shared" si="5"/>
        <v>0</v>
      </c>
      <c r="AB201" s="24">
        <f t="shared" si="6"/>
        <v>0</v>
      </c>
      <c r="AC201" s="24">
        <f t="shared" si="7"/>
        <v>0</v>
      </c>
      <c r="AD201" s="19"/>
    </row>
    <row r="202" ht="15.75" customHeight="1">
      <c r="B202" s="19"/>
      <c r="C202" s="20"/>
      <c r="D202" s="21"/>
      <c r="E202" s="22"/>
      <c r="F202" s="19"/>
      <c r="G202" s="23" t="str">
        <f t="array" ref="G202">IF(F202="","",IFERROR(INDEX(Clientas!$F$6:$F$55,MATCH(F202,Clientas!$C$6:$C$55,0)),""))</f>
        <v/>
      </c>
      <c r="H202" s="19"/>
      <c r="I202" s="19"/>
      <c r="J202" s="19"/>
      <c r="K202" s="19"/>
      <c r="L202" s="24">
        <f>IF(OR(I202="",J202="",G202=""),0,IF(G202="Local",SUMIFS(Servicios!$F$6:$F$39,Servicios!$D$6:$D$39,I202,Servicios!$E$6:$E$39,J202),SUMIFS(Servicios!$G$6:$G$39,Servicios!$D$6:$D$39,I202,Servicios!$E$6:$E$39,J202)))</f>
        <v>0</v>
      </c>
      <c r="M202" s="25"/>
      <c r="N202" s="24">
        <f t="shared" si="1"/>
        <v>0</v>
      </c>
      <c r="O202" s="25"/>
      <c r="P202" s="25"/>
      <c r="Q202" s="25"/>
      <c r="R202" s="24">
        <f t="shared" si="2"/>
        <v>0</v>
      </c>
      <c r="S202" s="24">
        <f t="shared" si="3"/>
        <v>0</v>
      </c>
      <c r="T202" s="19"/>
      <c r="U202" s="19"/>
      <c r="V202" s="19"/>
      <c r="W202" s="26" t="str">
        <f t="array" ref="W202">IF(H202="","",IFERROR(INDEX(Manicuristas!$D$6:$D$9,MATCH(H202,Manicuristas!$C$6:$C$9,0)),0))</f>
        <v/>
      </c>
      <c r="X202" s="26" t="str">
        <f t="array" ref="X202">IF(H202="","",IFERROR(INDEX(Manicuristas!$E$6:$E$9,MATCH(H202,Manicuristas!$C$6:$C$9,0)),0))</f>
        <v/>
      </c>
      <c r="Y202" s="26" t="str">
        <f t="array" ref="Y202">IF(H202="","",IFERROR(INDEX(Manicuristas!$F$6:$F$9,MATCH(H202,Manicuristas!$C$6:$C$9,0)),0))</f>
        <v/>
      </c>
      <c r="Z202" s="24">
        <f t="shared" si="4"/>
        <v>0</v>
      </c>
      <c r="AA202" s="24">
        <f t="shared" si="5"/>
        <v>0</v>
      </c>
      <c r="AB202" s="24">
        <f t="shared" si="6"/>
        <v>0</v>
      </c>
      <c r="AC202" s="24">
        <f t="shared" si="7"/>
        <v>0</v>
      </c>
      <c r="AD202" s="19"/>
    </row>
    <row r="203" ht="15.75" customHeight="1">
      <c r="B203" s="19"/>
      <c r="C203" s="20"/>
      <c r="D203" s="21"/>
      <c r="E203" s="22"/>
      <c r="F203" s="19"/>
      <c r="G203" s="23" t="str">
        <f t="array" ref="G203">IF(F203="","",IFERROR(INDEX(Clientas!$F$6:$F$55,MATCH(F203,Clientas!$C$6:$C$55,0)),""))</f>
        <v/>
      </c>
      <c r="H203" s="19"/>
      <c r="I203" s="19"/>
      <c r="J203" s="19"/>
      <c r="K203" s="19"/>
      <c r="L203" s="24">
        <f>IF(OR(I203="",J203="",G203=""),0,IF(G203="Local",SUMIFS(Servicios!$F$6:$F$39,Servicios!$D$6:$D$39,I203,Servicios!$E$6:$E$39,J203),SUMIFS(Servicios!$G$6:$G$39,Servicios!$D$6:$D$39,I203,Servicios!$E$6:$E$39,J203)))</f>
        <v>0</v>
      </c>
      <c r="M203" s="25"/>
      <c r="N203" s="24">
        <f t="shared" si="1"/>
        <v>0</v>
      </c>
      <c r="O203" s="25"/>
      <c r="P203" s="25"/>
      <c r="Q203" s="25"/>
      <c r="R203" s="24">
        <f t="shared" si="2"/>
        <v>0</v>
      </c>
      <c r="S203" s="24">
        <f t="shared" si="3"/>
        <v>0</v>
      </c>
      <c r="T203" s="19"/>
      <c r="U203" s="19"/>
      <c r="V203" s="19"/>
      <c r="W203" s="26" t="str">
        <f t="array" ref="W203">IF(H203="","",IFERROR(INDEX(Manicuristas!$D$6:$D$9,MATCH(H203,Manicuristas!$C$6:$C$9,0)),0))</f>
        <v/>
      </c>
      <c r="X203" s="26" t="str">
        <f t="array" ref="X203">IF(H203="","",IFERROR(INDEX(Manicuristas!$E$6:$E$9,MATCH(H203,Manicuristas!$C$6:$C$9,0)),0))</f>
        <v/>
      </c>
      <c r="Y203" s="26" t="str">
        <f t="array" ref="Y203">IF(H203="","",IFERROR(INDEX(Manicuristas!$F$6:$F$9,MATCH(H203,Manicuristas!$C$6:$C$9,0)),0))</f>
        <v/>
      </c>
      <c r="Z203" s="24">
        <f t="shared" si="4"/>
        <v>0</v>
      </c>
      <c r="AA203" s="24">
        <f t="shared" si="5"/>
        <v>0</v>
      </c>
      <c r="AB203" s="24">
        <f t="shared" si="6"/>
        <v>0</v>
      </c>
      <c r="AC203" s="24">
        <f t="shared" si="7"/>
        <v>0</v>
      </c>
      <c r="AD203" s="19"/>
    </row>
    <row r="204" ht="15.75" customHeight="1">
      <c r="B204" s="19"/>
      <c r="C204" s="20"/>
      <c r="D204" s="21"/>
      <c r="E204" s="22"/>
      <c r="F204" s="19"/>
      <c r="G204" s="23" t="str">
        <f t="array" ref="G204">IF(F204="","",IFERROR(INDEX(Clientas!$F$6:$F$55,MATCH(F204,Clientas!$C$6:$C$55,0)),""))</f>
        <v/>
      </c>
      <c r="H204" s="19"/>
      <c r="I204" s="19"/>
      <c r="J204" s="19"/>
      <c r="K204" s="19"/>
      <c r="L204" s="24">
        <f>IF(OR(I204="",J204="",G204=""),0,IF(G204="Local",SUMIFS(Servicios!$F$6:$F$39,Servicios!$D$6:$D$39,I204,Servicios!$E$6:$E$39,J204),SUMIFS(Servicios!$G$6:$G$39,Servicios!$D$6:$D$39,I204,Servicios!$E$6:$E$39,J204)))</f>
        <v>0</v>
      </c>
      <c r="M204" s="25"/>
      <c r="N204" s="24">
        <f t="shared" si="1"/>
        <v>0</v>
      </c>
      <c r="O204" s="25"/>
      <c r="P204" s="25"/>
      <c r="Q204" s="25"/>
      <c r="R204" s="24">
        <f t="shared" si="2"/>
        <v>0</v>
      </c>
      <c r="S204" s="24">
        <f t="shared" si="3"/>
        <v>0</v>
      </c>
      <c r="T204" s="19"/>
      <c r="U204" s="19"/>
      <c r="V204" s="19"/>
      <c r="W204" s="26" t="str">
        <f t="array" ref="W204">IF(H204="","",IFERROR(INDEX(Manicuristas!$D$6:$D$9,MATCH(H204,Manicuristas!$C$6:$C$9,0)),0))</f>
        <v/>
      </c>
      <c r="X204" s="26" t="str">
        <f t="array" ref="X204">IF(H204="","",IFERROR(INDEX(Manicuristas!$E$6:$E$9,MATCH(H204,Manicuristas!$C$6:$C$9,0)),0))</f>
        <v/>
      </c>
      <c r="Y204" s="26" t="str">
        <f t="array" ref="Y204">IF(H204="","",IFERROR(INDEX(Manicuristas!$F$6:$F$9,MATCH(H204,Manicuristas!$C$6:$C$9,0)),0))</f>
        <v/>
      </c>
      <c r="Z204" s="24">
        <f t="shared" si="4"/>
        <v>0</v>
      </c>
      <c r="AA204" s="24">
        <f t="shared" si="5"/>
        <v>0</v>
      </c>
      <c r="AB204" s="24">
        <f t="shared" si="6"/>
        <v>0</v>
      </c>
      <c r="AC204" s="24">
        <f t="shared" si="7"/>
        <v>0</v>
      </c>
      <c r="AD204" s="19"/>
    </row>
    <row r="205" ht="15.75" customHeight="1">
      <c r="B205" s="19"/>
      <c r="C205" s="20"/>
      <c r="D205" s="21"/>
      <c r="E205" s="22"/>
      <c r="F205" s="19"/>
      <c r="G205" s="23" t="str">
        <f t="array" ref="G205">IF(F205="","",IFERROR(INDEX(Clientas!$F$6:$F$55,MATCH(F205,Clientas!$C$6:$C$55,0)),""))</f>
        <v/>
      </c>
      <c r="H205" s="19"/>
      <c r="I205" s="19"/>
      <c r="J205" s="19"/>
      <c r="K205" s="19"/>
      <c r="L205" s="24">
        <f>IF(OR(I205="",J205="",G205=""),0,IF(G205="Local",SUMIFS(Servicios!$F$6:$F$39,Servicios!$D$6:$D$39,I205,Servicios!$E$6:$E$39,J205),SUMIFS(Servicios!$G$6:$G$39,Servicios!$D$6:$D$39,I205,Servicios!$E$6:$E$39,J205)))</f>
        <v>0</v>
      </c>
      <c r="M205" s="25"/>
      <c r="N205" s="24">
        <f t="shared" si="1"/>
        <v>0</v>
      </c>
      <c r="O205" s="25"/>
      <c r="P205" s="25"/>
      <c r="Q205" s="25"/>
      <c r="R205" s="24">
        <f t="shared" si="2"/>
        <v>0</v>
      </c>
      <c r="S205" s="24">
        <f t="shared" si="3"/>
        <v>0</v>
      </c>
      <c r="T205" s="19"/>
      <c r="U205" s="19"/>
      <c r="V205" s="19"/>
      <c r="W205" s="26" t="str">
        <f t="array" ref="W205">IF(H205="","",IFERROR(INDEX(Manicuristas!$D$6:$D$9,MATCH(H205,Manicuristas!$C$6:$C$9,0)),0))</f>
        <v/>
      </c>
      <c r="X205" s="26" t="str">
        <f t="array" ref="X205">IF(H205="","",IFERROR(INDEX(Manicuristas!$E$6:$E$9,MATCH(H205,Manicuristas!$C$6:$C$9,0)),0))</f>
        <v/>
      </c>
      <c r="Y205" s="26" t="str">
        <f t="array" ref="Y205">IF(H205="","",IFERROR(INDEX(Manicuristas!$F$6:$F$9,MATCH(H205,Manicuristas!$C$6:$C$9,0)),0))</f>
        <v/>
      </c>
      <c r="Z205" s="24">
        <f t="shared" si="4"/>
        <v>0</v>
      </c>
      <c r="AA205" s="24">
        <f t="shared" si="5"/>
        <v>0</v>
      </c>
      <c r="AB205" s="24">
        <f t="shared" si="6"/>
        <v>0</v>
      </c>
      <c r="AC205" s="24">
        <f t="shared" si="7"/>
        <v>0</v>
      </c>
      <c r="AD205" s="19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U6:U205">
      <formula1>"Confirmada,Completada,Cancelada,No-show,Pendiente"</formula1>
    </dataValidation>
    <dataValidation type="list" allowBlank="1" sqref="T6:T205">
      <formula1>"Efectivo,Transferencia,Tarjeta,Mixto"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71"/>
    <col customWidth="1" min="2" max="2" width="8.0"/>
    <col customWidth="1" min="3" max="3" width="24.0"/>
    <col customWidth="1" min="4" max="4" width="18.0"/>
    <col customWidth="1" min="5" max="5" width="20.0"/>
    <col customWidth="1" min="6" max="7" width="14.0"/>
    <col customWidth="1" min="8" max="8" width="20.0"/>
    <col customWidth="1" min="9" max="9" width="30.0"/>
    <col customWidth="1" min="10" max="11" width="14.0"/>
    <col customWidth="1" min="12" max="12" width="12.0"/>
    <col customWidth="1" min="13" max="13" width="16.0"/>
    <col customWidth="1" min="14" max="26" width="8.71"/>
  </cols>
  <sheetData>
    <row r="2">
      <c r="B2" s="17" t="s">
        <v>61</v>
      </c>
    </row>
    <row r="3">
      <c r="B3" s="18" t="s">
        <v>62</v>
      </c>
    </row>
    <row r="5">
      <c r="B5" s="13" t="s">
        <v>63</v>
      </c>
      <c r="C5" s="13" t="s">
        <v>64</v>
      </c>
      <c r="D5" s="13" t="s">
        <v>65</v>
      </c>
      <c r="E5" s="13" t="s">
        <v>66</v>
      </c>
      <c r="F5" s="13" t="s">
        <v>67</v>
      </c>
      <c r="G5" s="13" t="s">
        <v>68</v>
      </c>
      <c r="H5" s="13" t="s">
        <v>69</v>
      </c>
      <c r="I5" s="13" t="s">
        <v>70</v>
      </c>
      <c r="J5" s="13" t="s">
        <v>71</v>
      </c>
      <c r="K5" s="13" t="s">
        <v>72</v>
      </c>
      <c r="L5" s="13" t="s">
        <v>73</v>
      </c>
      <c r="M5" s="13" t="s">
        <v>74</v>
      </c>
    </row>
    <row r="6">
      <c r="B6" s="28"/>
      <c r="C6" s="28"/>
      <c r="D6" s="28"/>
      <c r="E6" s="28"/>
      <c r="F6" s="28"/>
      <c r="G6" s="29"/>
      <c r="H6" s="28"/>
      <c r="I6" s="28"/>
      <c r="J6" s="20"/>
      <c r="K6" s="20"/>
      <c r="L6" s="22"/>
      <c r="M6" s="25"/>
    </row>
    <row r="7">
      <c r="B7" s="28"/>
      <c r="C7" s="28"/>
      <c r="D7" s="28"/>
      <c r="E7" s="28"/>
      <c r="F7" s="28"/>
      <c r="G7" s="29"/>
      <c r="H7" s="28"/>
      <c r="I7" s="28"/>
      <c r="J7" s="20"/>
      <c r="K7" s="20"/>
      <c r="L7" s="22"/>
      <c r="M7" s="25"/>
    </row>
    <row r="8">
      <c r="B8" s="28"/>
      <c r="C8" s="28"/>
      <c r="D8" s="28"/>
      <c r="E8" s="28"/>
      <c r="F8" s="28"/>
      <c r="G8" s="29"/>
      <c r="H8" s="28"/>
      <c r="I8" s="28"/>
      <c r="J8" s="20"/>
      <c r="K8" s="20"/>
      <c r="L8" s="22"/>
      <c r="M8" s="25"/>
    </row>
    <row r="9">
      <c r="B9" s="28"/>
      <c r="C9" s="28"/>
      <c r="D9" s="28"/>
      <c r="E9" s="28"/>
      <c r="F9" s="28"/>
      <c r="G9" s="29"/>
      <c r="H9" s="28"/>
      <c r="I9" s="28"/>
      <c r="J9" s="20"/>
      <c r="K9" s="20"/>
      <c r="L9" s="22"/>
      <c r="M9" s="25"/>
    </row>
    <row r="10">
      <c r="B10" s="28"/>
      <c r="C10" s="28"/>
      <c r="D10" s="28"/>
      <c r="E10" s="28"/>
      <c r="F10" s="28"/>
      <c r="G10" s="29"/>
      <c r="H10" s="28"/>
      <c r="I10" s="28"/>
      <c r="J10" s="20"/>
      <c r="K10" s="20"/>
      <c r="L10" s="22"/>
      <c r="M10" s="25"/>
    </row>
    <row r="11">
      <c r="B11" s="28"/>
      <c r="C11" s="28"/>
      <c r="D11" s="28"/>
      <c r="E11" s="28"/>
      <c r="F11" s="28"/>
      <c r="G11" s="29"/>
      <c r="H11" s="28"/>
      <c r="I11" s="28"/>
      <c r="J11" s="20"/>
      <c r="K11" s="20"/>
      <c r="L11" s="22"/>
      <c r="M11" s="25"/>
    </row>
    <row r="12">
      <c r="B12" s="28"/>
      <c r="C12" s="28"/>
      <c r="D12" s="28"/>
      <c r="E12" s="28"/>
      <c r="F12" s="28"/>
      <c r="G12" s="29"/>
      <c r="H12" s="28"/>
      <c r="I12" s="28"/>
      <c r="J12" s="20"/>
      <c r="K12" s="20"/>
      <c r="L12" s="22"/>
      <c r="M12" s="25"/>
    </row>
    <row r="13">
      <c r="B13" s="28"/>
      <c r="C13" s="28"/>
      <c r="D13" s="28"/>
      <c r="E13" s="28"/>
      <c r="F13" s="28"/>
      <c r="G13" s="29"/>
      <c r="H13" s="28"/>
      <c r="I13" s="28"/>
      <c r="J13" s="20"/>
      <c r="K13" s="20"/>
      <c r="L13" s="22"/>
      <c r="M13" s="25"/>
    </row>
    <row r="14">
      <c r="B14" s="28"/>
      <c r="C14" s="28"/>
      <c r="D14" s="28"/>
      <c r="E14" s="28"/>
      <c r="F14" s="28"/>
      <c r="G14" s="29"/>
      <c r="H14" s="28"/>
      <c r="I14" s="28"/>
      <c r="J14" s="20"/>
      <c r="K14" s="20"/>
      <c r="L14" s="22"/>
      <c r="M14" s="25"/>
    </row>
    <row r="15">
      <c r="B15" s="28"/>
      <c r="C15" s="28"/>
      <c r="D15" s="28"/>
      <c r="E15" s="28"/>
      <c r="F15" s="28"/>
      <c r="G15" s="29"/>
      <c r="H15" s="28"/>
      <c r="I15" s="28"/>
      <c r="J15" s="20"/>
      <c r="K15" s="20"/>
      <c r="L15" s="22"/>
      <c r="M15" s="25"/>
    </row>
    <row r="16">
      <c r="B16" s="28"/>
      <c r="C16" s="28"/>
      <c r="D16" s="28"/>
      <c r="E16" s="28"/>
      <c r="F16" s="28"/>
      <c r="G16" s="29"/>
      <c r="H16" s="28"/>
      <c r="I16" s="28"/>
      <c r="J16" s="20"/>
      <c r="K16" s="20"/>
      <c r="L16" s="22"/>
      <c r="M16" s="25"/>
    </row>
    <row r="17">
      <c r="B17" s="28"/>
      <c r="C17" s="28"/>
      <c r="D17" s="28"/>
      <c r="E17" s="28"/>
      <c r="F17" s="28"/>
      <c r="G17" s="29"/>
      <c r="H17" s="28"/>
      <c r="I17" s="28"/>
      <c r="J17" s="20"/>
      <c r="K17" s="20"/>
      <c r="L17" s="22"/>
      <c r="M17" s="25"/>
    </row>
    <row r="18">
      <c r="B18" s="28"/>
      <c r="C18" s="28"/>
      <c r="D18" s="28"/>
      <c r="E18" s="28"/>
      <c r="F18" s="28"/>
      <c r="G18" s="29"/>
      <c r="H18" s="28"/>
      <c r="I18" s="28"/>
      <c r="J18" s="20"/>
      <c r="K18" s="20"/>
      <c r="L18" s="22"/>
      <c r="M18" s="25"/>
    </row>
    <row r="19">
      <c r="B19" s="28"/>
      <c r="C19" s="28"/>
      <c r="D19" s="28"/>
      <c r="E19" s="28"/>
      <c r="F19" s="28"/>
      <c r="G19" s="29"/>
      <c r="H19" s="28"/>
      <c r="I19" s="28"/>
      <c r="J19" s="20"/>
      <c r="K19" s="20"/>
      <c r="L19" s="22"/>
      <c r="M19" s="25"/>
    </row>
    <row r="20">
      <c r="B20" s="28"/>
      <c r="C20" s="28"/>
      <c r="D20" s="28"/>
      <c r="E20" s="28"/>
      <c r="F20" s="28"/>
      <c r="G20" s="29"/>
      <c r="H20" s="28"/>
      <c r="I20" s="28"/>
      <c r="J20" s="20"/>
      <c r="K20" s="20"/>
      <c r="L20" s="22"/>
      <c r="M20" s="25"/>
    </row>
    <row r="21" ht="15.75" customHeight="1">
      <c r="B21" s="28"/>
      <c r="C21" s="28"/>
      <c r="D21" s="28"/>
      <c r="E21" s="28"/>
      <c r="F21" s="28"/>
      <c r="G21" s="29"/>
      <c r="H21" s="28"/>
      <c r="I21" s="28"/>
      <c r="J21" s="20"/>
      <c r="K21" s="20"/>
      <c r="L21" s="22"/>
      <c r="M21" s="25"/>
    </row>
    <row r="22" ht="15.75" customHeight="1">
      <c r="B22" s="28"/>
      <c r="C22" s="28"/>
      <c r="D22" s="28"/>
      <c r="E22" s="28"/>
      <c r="F22" s="28"/>
      <c r="G22" s="29"/>
      <c r="H22" s="28"/>
      <c r="I22" s="28"/>
      <c r="J22" s="20"/>
      <c r="K22" s="20"/>
      <c r="L22" s="22"/>
      <c r="M22" s="25"/>
    </row>
    <row r="23" ht="15.75" customHeight="1">
      <c r="B23" s="28"/>
      <c r="C23" s="28"/>
      <c r="D23" s="28"/>
      <c r="E23" s="28"/>
      <c r="F23" s="28"/>
      <c r="G23" s="29"/>
      <c r="H23" s="28"/>
      <c r="I23" s="28"/>
      <c r="J23" s="20"/>
      <c r="K23" s="20"/>
      <c r="L23" s="22"/>
      <c r="M23" s="25"/>
    </row>
    <row r="24" ht="15.75" customHeight="1">
      <c r="B24" s="28"/>
      <c r="C24" s="28"/>
      <c r="D24" s="28"/>
      <c r="E24" s="28"/>
      <c r="F24" s="28"/>
      <c r="G24" s="29"/>
      <c r="H24" s="28"/>
      <c r="I24" s="28"/>
      <c r="J24" s="20"/>
      <c r="K24" s="20"/>
      <c r="L24" s="22"/>
      <c r="M24" s="25"/>
    </row>
    <row r="25" ht="15.75" customHeight="1">
      <c r="B25" s="28"/>
      <c r="C25" s="28"/>
      <c r="D25" s="28"/>
      <c r="E25" s="28"/>
      <c r="F25" s="28"/>
      <c r="G25" s="29"/>
      <c r="H25" s="28"/>
      <c r="I25" s="28"/>
      <c r="J25" s="20"/>
      <c r="K25" s="20"/>
      <c r="L25" s="22"/>
      <c r="M25" s="25"/>
    </row>
    <row r="26" ht="15.75" customHeight="1">
      <c r="B26" s="28"/>
      <c r="C26" s="28"/>
      <c r="D26" s="28"/>
      <c r="E26" s="28"/>
      <c r="F26" s="28"/>
      <c r="G26" s="29"/>
      <c r="H26" s="28"/>
      <c r="I26" s="28"/>
      <c r="J26" s="20"/>
      <c r="K26" s="20"/>
      <c r="L26" s="22"/>
      <c r="M26" s="25"/>
    </row>
    <row r="27" ht="15.75" customHeight="1">
      <c r="B27" s="28"/>
      <c r="C27" s="28"/>
      <c r="D27" s="28"/>
      <c r="E27" s="28"/>
      <c r="F27" s="28"/>
      <c r="G27" s="29"/>
      <c r="H27" s="28"/>
      <c r="I27" s="28"/>
      <c r="J27" s="20"/>
      <c r="K27" s="20"/>
      <c r="L27" s="22"/>
      <c r="M27" s="25"/>
    </row>
    <row r="28" ht="15.75" customHeight="1">
      <c r="B28" s="28"/>
      <c r="C28" s="28"/>
      <c r="D28" s="28"/>
      <c r="E28" s="28"/>
      <c r="F28" s="28"/>
      <c r="G28" s="29"/>
      <c r="H28" s="28"/>
      <c r="I28" s="28"/>
      <c r="J28" s="20"/>
      <c r="K28" s="20"/>
      <c r="L28" s="22"/>
      <c r="M28" s="25"/>
    </row>
    <row r="29" ht="15.75" customHeight="1">
      <c r="B29" s="28"/>
      <c r="C29" s="28"/>
      <c r="D29" s="28"/>
      <c r="E29" s="28"/>
      <c r="F29" s="28"/>
      <c r="G29" s="29"/>
      <c r="H29" s="28"/>
      <c r="I29" s="28"/>
      <c r="J29" s="20"/>
      <c r="K29" s="20"/>
      <c r="L29" s="22"/>
      <c r="M29" s="25"/>
    </row>
    <row r="30" ht="15.75" customHeight="1">
      <c r="B30" s="28"/>
      <c r="C30" s="28"/>
      <c r="D30" s="28"/>
      <c r="E30" s="28"/>
      <c r="F30" s="28"/>
      <c r="G30" s="29"/>
      <c r="H30" s="28"/>
      <c r="I30" s="28"/>
      <c r="J30" s="20"/>
      <c r="K30" s="20"/>
      <c r="L30" s="22"/>
      <c r="M30" s="25"/>
    </row>
    <row r="31" ht="15.75" customHeight="1">
      <c r="B31" s="28"/>
      <c r="C31" s="28"/>
      <c r="D31" s="28"/>
      <c r="E31" s="28"/>
      <c r="F31" s="28"/>
      <c r="G31" s="29"/>
      <c r="H31" s="28"/>
      <c r="I31" s="28"/>
      <c r="J31" s="20"/>
      <c r="K31" s="20"/>
      <c r="L31" s="22"/>
      <c r="M31" s="25"/>
    </row>
    <row r="32" ht="15.75" customHeight="1">
      <c r="B32" s="28"/>
      <c r="C32" s="28"/>
      <c r="D32" s="28"/>
      <c r="E32" s="28"/>
      <c r="F32" s="28"/>
      <c r="G32" s="29"/>
      <c r="H32" s="28"/>
      <c r="I32" s="28"/>
      <c r="J32" s="20"/>
      <c r="K32" s="20"/>
      <c r="L32" s="22"/>
      <c r="M32" s="25"/>
    </row>
    <row r="33" ht="15.75" customHeight="1">
      <c r="B33" s="28"/>
      <c r="C33" s="28"/>
      <c r="D33" s="28"/>
      <c r="E33" s="28"/>
      <c r="F33" s="28"/>
      <c r="G33" s="29"/>
      <c r="H33" s="28"/>
      <c r="I33" s="28"/>
      <c r="J33" s="20"/>
      <c r="K33" s="20"/>
      <c r="L33" s="22"/>
      <c r="M33" s="25"/>
    </row>
    <row r="34" ht="15.75" customHeight="1">
      <c r="B34" s="28"/>
      <c r="C34" s="28"/>
      <c r="D34" s="28"/>
      <c r="E34" s="28"/>
      <c r="F34" s="28"/>
      <c r="G34" s="29"/>
      <c r="H34" s="28"/>
      <c r="I34" s="28"/>
      <c r="J34" s="20"/>
      <c r="K34" s="20"/>
      <c r="L34" s="22"/>
      <c r="M34" s="25"/>
    </row>
    <row r="35" ht="15.75" customHeight="1">
      <c r="B35" s="28"/>
      <c r="C35" s="28"/>
      <c r="D35" s="28"/>
      <c r="E35" s="28"/>
      <c r="F35" s="28"/>
      <c r="G35" s="29"/>
      <c r="H35" s="28"/>
      <c r="I35" s="28"/>
      <c r="J35" s="20"/>
      <c r="K35" s="20"/>
      <c r="L35" s="22"/>
      <c r="M35" s="25"/>
    </row>
    <row r="36" ht="15.75" customHeight="1">
      <c r="B36" s="28"/>
      <c r="C36" s="28"/>
      <c r="D36" s="28"/>
      <c r="E36" s="28"/>
      <c r="F36" s="28"/>
      <c r="G36" s="29"/>
      <c r="H36" s="28"/>
      <c r="I36" s="28"/>
      <c r="J36" s="20"/>
      <c r="K36" s="20"/>
      <c r="L36" s="22"/>
      <c r="M36" s="25"/>
    </row>
    <row r="37" ht="15.75" customHeight="1">
      <c r="B37" s="28"/>
      <c r="C37" s="28"/>
      <c r="D37" s="28"/>
      <c r="E37" s="28"/>
      <c r="F37" s="28"/>
      <c r="G37" s="29"/>
      <c r="H37" s="28"/>
      <c r="I37" s="28"/>
      <c r="J37" s="20"/>
      <c r="K37" s="20"/>
      <c r="L37" s="22"/>
      <c r="M37" s="25"/>
    </row>
    <row r="38" ht="15.75" customHeight="1">
      <c r="B38" s="28"/>
      <c r="C38" s="28"/>
      <c r="D38" s="28"/>
      <c r="E38" s="28"/>
      <c r="F38" s="28"/>
      <c r="G38" s="29"/>
      <c r="H38" s="28"/>
      <c r="I38" s="28"/>
      <c r="J38" s="20"/>
      <c r="K38" s="20"/>
      <c r="L38" s="22"/>
      <c r="M38" s="25"/>
    </row>
    <row r="39" ht="15.75" customHeight="1">
      <c r="B39" s="28"/>
      <c r="C39" s="28"/>
      <c r="D39" s="28"/>
      <c r="E39" s="28"/>
      <c r="F39" s="28"/>
      <c r="G39" s="29"/>
      <c r="H39" s="28"/>
      <c r="I39" s="28"/>
      <c r="J39" s="20"/>
      <c r="K39" s="20"/>
      <c r="L39" s="22"/>
      <c r="M39" s="25"/>
    </row>
    <row r="40" ht="15.75" customHeight="1">
      <c r="B40" s="28"/>
      <c r="C40" s="28"/>
      <c r="D40" s="28"/>
      <c r="E40" s="28"/>
      <c r="F40" s="28"/>
      <c r="G40" s="29"/>
      <c r="H40" s="28"/>
      <c r="I40" s="28"/>
      <c r="J40" s="20"/>
      <c r="K40" s="20"/>
      <c r="L40" s="22"/>
      <c r="M40" s="25"/>
    </row>
    <row r="41" ht="15.75" customHeight="1">
      <c r="B41" s="28"/>
      <c r="C41" s="28"/>
      <c r="D41" s="28"/>
      <c r="E41" s="28"/>
      <c r="F41" s="28"/>
      <c r="G41" s="29"/>
      <c r="H41" s="28"/>
      <c r="I41" s="28"/>
      <c r="J41" s="20"/>
      <c r="K41" s="20"/>
      <c r="L41" s="22"/>
      <c r="M41" s="25"/>
    </row>
    <row r="42" ht="15.75" customHeight="1">
      <c r="B42" s="28"/>
      <c r="C42" s="28"/>
      <c r="D42" s="28"/>
      <c r="E42" s="28"/>
      <c r="F42" s="28"/>
      <c r="G42" s="29"/>
      <c r="H42" s="28"/>
      <c r="I42" s="28"/>
      <c r="J42" s="20"/>
      <c r="K42" s="20"/>
      <c r="L42" s="22"/>
      <c r="M42" s="25"/>
    </row>
    <row r="43" ht="15.75" customHeight="1">
      <c r="B43" s="28"/>
      <c r="C43" s="28"/>
      <c r="D43" s="28"/>
      <c r="E43" s="28"/>
      <c r="F43" s="28"/>
      <c r="G43" s="29"/>
      <c r="H43" s="28"/>
      <c r="I43" s="28"/>
      <c r="J43" s="20"/>
      <c r="K43" s="20"/>
      <c r="L43" s="22"/>
      <c r="M43" s="25"/>
    </row>
    <row r="44" ht="15.75" customHeight="1">
      <c r="B44" s="28"/>
      <c r="C44" s="28"/>
      <c r="D44" s="28"/>
      <c r="E44" s="28"/>
      <c r="F44" s="28"/>
      <c r="G44" s="29"/>
      <c r="H44" s="28"/>
      <c r="I44" s="28"/>
      <c r="J44" s="20"/>
      <c r="K44" s="20"/>
      <c r="L44" s="22"/>
      <c r="M44" s="25"/>
    </row>
    <row r="45" ht="15.75" customHeight="1">
      <c r="B45" s="28"/>
      <c r="C45" s="28"/>
      <c r="D45" s="28"/>
      <c r="E45" s="28"/>
      <c r="F45" s="28"/>
      <c r="G45" s="29"/>
      <c r="H45" s="28"/>
      <c r="I45" s="28"/>
      <c r="J45" s="20"/>
      <c r="K45" s="20"/>
      <c r="L45" s="22"/>
      <c r="M45" s="25"/>
    </row>
    <row r="46" ht="15.75" customHeight="1">
      <c r="B46" s="28"/>
      <c r="C46" s="28"/>
      <c r="D46" s="28"/>
      <c r="E46" s="28"/>
      <c r="F46" s="28"/>
      <c r="G46" s="29"/>
      <c r="H46" s="28"/>
      <c r="I46" s="28"/>
      <c r="J46" s="20"/>
      <c r="K46" s="20"/>
      <c r="L46" s="22"/>
      <c r="M46" s="25"/>
    </row>
    <row r="47" ht="15.75" customHeight="1">
      <c r="B47" s="28"/>
      <c r="C47" s="28"/>
      <c r="D47" s="28"/>
      <c r="E47" s="28"/>
      <c r="F47" s="28"/>
      <c r="G47" s="29"/>
      <c r="H47" s="28"/>
      <c r="I47" s="28"/>
      <c r="J47" s="20"/>
      <c r="K47" s="20"/>
      <c r="L47" s="22"/>
      <c r="M47" s="25"/>
    </row>
    <row r="48" ht="15.75" customHeight="1">
      <c r="B48" s="28"/>
      <c r="C48" s="28"/>
      <c r="D48" s="28"/>
      <c r="E48" s="28"/>
      <c r="F48" s="28"/>
      <c r="G48" s="29"/>
      <c r="H48" s="28"/>
      <c r="I48" s="28"/>
      <c r="J48" s="20"/>
      <c r="K48" s="20"/>
      <c r="L48" s="22"/>
      <c r="M48" s="25"/>
    </row>
    <row r="49" ht="15.75" customHeight="1">
      <c r="B49" s="28"/>
      <c r="C49" s="28"/>
      <c r="D49" s="28"/>
      <c r="E49" s="28"/>
      <c r="F49" s="28"/>
      <c r="G49" s="29"/>
      <c r="H49" s="28"/>
      <c r="I49" s="28"/>
      <c r="J49" s="20"/>
      <c r="K49" s="20"/>
      <c r="L49" s="22"/>
      <c r="M49" s="25"/>
    </row>
    <row r="50" ht="15.75" customHeight="1">
      <c r="B50" s="28"/>
      <c r="C50" s="28"/>
      <c r="D50" s="28"/>
      <c r="E50" s="28"/>
      <c r="F50" s="28"/>
      <c r="G50" s="29"/>
      <c r="H50" s="28"/>
      <c r="I50" s="28"/>
      <c r="J50" s="20"/>
      <c r="K50" s="20"/>
      <c r="L50" s="22"/>
      <c r="M50" s="25"/>
    </row>
    <row r="51" ht="15.75" customHeight="1">
      <c r="B51" s="28"/>
      <c r="C51" s="28"/>
      <c r="D51" s="28"/>
      <c r="E51" s="28"/>
      <c r="F51" s="28"/>
      <c r="G51" s="29"/>
      <c r="H51" s="28"/>
      <c r="I51" s="28"/>
      <c r="J51" s="20"/>
      <c r="K51" s="20"/>
      <c r="L51" s="22"/>
      <c r="M51" s="25"/>
    </row>
    <row r="52" ht="15.75" customHeight="1">
      <c r="B52" s="28"/>
      <c r="C52" s="28"/>
      <c r="D52" s="28"/>
      <c r="E52" s="28"/>
      <c r="F52" s="28"/>
      <c r="G52" s="29"/>
      <c r="H52" s="28"/>
      <c r="I52" s="28"/>
      <c r="J52" s="20"/>
      <c r="K52" s="20"/>
      <c r="L52" s="22"/>
      <c r="M52" s="25"/>
    </row>
    <row r="53" ht="15.75" customHeight="1">
      <c r="B53" s="28"/>
      <c r="C53" s="28"/>
      <c r="D53" s="28"/>
      <c r="E53" s="28"/>
      <c r="F53" s="28"/>
      <c r="G53" s="29"/>
      <c r="H53" s="28"/>
      <c r="I53" s="28"/>
      <c r="J53" s="20"/>
      <c r="K53" s="20"/>
      <c r="L53" s="22"/>
      <c r="M53" s="25"/>
    </row>
    <row r="54" ht="15.75" customHeight="1">
      <c r="B54" s="28"/>
      <c r="C54" s="28"/>
      <c r="D54" s="28"/>
      <c r="E54" s="28"/>
      <c r="F54" s="28"/>
      <c r="G54" s="29"/>
      <c r="H54" s="28"/>
      <c r="I54" s="28"/>
      <c r="J54" s="20"/>
      <c r="K54" s="20"/>
      <c r="L54" s="22"/>
      <c r="M54" s="25"/>
    </row>
    <row r="55" ht="15.75" customHeight="1">
      <c r="B55" s="28"/>
      <c r="C55" s="28"/>
      <c r="D55" s="28"/>
      <c r="E55" s="28"/>
      <c r="F55" s="28"/>
      <c r="G55" s="29"/>
      <c r="H55" s="28"/>
      <c r="I55" s="28"/>
      <c r="J55" s="20"/>
      <c r="K55" s="20"/>
      <c r="L55" s="22"/>
      <c r="M55" s="2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6:F55">
      <formula1>"Local,Extranjera"</formula1>
    </dataValidation>
    <dataValidation type="list" allowBlank="1" sqref="H6:H55">
      <formula1>"Instagram,Google,Referida,TikTok,Facebook,Pasaba por el local,Otro"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8.71"/>
    <col customWidth="1" min="2" max="2" width="8.0"/>
    <col customWidth="1" min="3" max="3" width="22.0"/>
    <col customWidth="1" min="4" max="4" width="26.0"/>
    <col customWidth="1" min="5" max="5" width="50.0"/>
    <col customWidth="1" min="6" max="6" width="16.0"/>
    <col customWidth="1" min="7" max="7" width="18.0"/>
    <col customWidth="1" min="8" max="8" width="14.0"/>
    <col customWidth="1" min="9" max="26" width="8.71"/>
  </cols>
  <sheetData>
    <row r="2">
      <c r="B2" s="17" t="s">
        <v>75</v>
      </c>
    </row>
    <row r="3">
      <c r="B3" s="18" t="s">
        <v>76</v>
      </c>
    </row>
    <row r="5">
      <c r="B5" s="13" t="s">
        <v>63</v>
      </c>
      <c r="C5" s="13" t="s">
        <v>77</v>
      </c>
      <c r="D5" s="13" t="s">
        <v>18</v>
      </c>
      <c r="E5" s="13" t="s">
        <v>78</v>
      </c>
      <c r="F5" s="13" t="s">
        <v>79</v>
      </c>
      <c r="G5" s="13" t="s">
        <v>80</v>
      </c>
      <c r="H5" s="13" t="s">
        <v>81</v>
      </c>
    </row>
    <row r="6">
      <c r="B6" s="28" t="s">
        <v>82</v>
      </c>
      <c r="C6" s="30" t="s">
        <v>83</v>
      </c>
      <c r="D6" s="28" t="s">
        <v>84</v>
      </c>
      <c r="E6" s="28" t="s">
        <v>85</v>
      </c>
      <c r="F6" s="25">
        <v>330.0</v>
      </c>
      <c r="G6" s="25">
        <v>430.0</v>
      </c>
      <c r="H6" s="22">
        <v>90.0</v>
      </c>
    </row>
    <row r="7">
      <c r="B7" s="28" t="s">
        <v>86</v>
      </c>
      <c r="C7" s="30" t="s">
        <v>83</v>
      </c>
      <c r="D7" s="28" t="s">
        <v>84</v>
      </c>
      <c r="E7" s="28" t="s">
        <v>87</v>
      </c>
      <c r="F7" s="25">
        <v>370.0</v>
      </c>
      <c r="G7" s="25">
        <v>470.0</v>
      </c>
      <c r="H7" s="22">
        <v>100.0</v>
      </c>
    </row>
    <row r="8">
      <c r="B8" s="28" t="s">
        <v>88</v>
      </c>
      <c r="C8" s="30" t="s">
        <v>83</v>
      </c>
      <c r="D8" s="28" t="s">
        <v>84</v>
      </c>
      <c r="E8" s="28" t="s">
        <v>89</v>
      </c>
      <c r="F8" s="25">
        <v>400.0</v>
      </c>
      <c r="G8" s="25">
        <v>500.0</v>
      </c>
      <c r="H8" s="22">
        <v>120.0</v>
      </c>
    </row>
    <row r="9">
      <c r="B9" s="28" t="s">
        <v>90</v>
      </c>
      <c r="C9" s="30" t="s">
        <v>83</v>
      </c>
      <c r="D9" s="28" t="s">
        <v>91</v>
      </c>
      <c r="E9" s="28" t="s">
        <v>85</v>
      </c>
      <c r="F9" s="25">
        <v>420.0</v>
      </c>
      <c r="G9" s="25">
        <v>520.0</v>
      </c>
      <c r="H9" s="22">
        <v>120.0</v>
      </c>
    </row>
    <row r="10">
      <c r="B10" s="28" t="s">
        <v>92</v>
      </c>
      <c r="C10" s="30" t="s">
        <v>83</v>
      </c>
      <c r="D10" s="28" t="s">
        <v>91</v>
      </c>
      <c r="E10" s="28" t="s">
        <v>87</v>
      </c>
      <c r="F10" s="25">
        <v>450.0</v>
      </c>
      <c r="G10" s="25">
        <v>550.0</v>
      </c>
      <c r="H10" s="22">
        <v>130.0</v>
      </c>
    </row>
    <row r="11">
      <c r="B11" s="28" t="s">
        <v>93</v>
      </c>
      <c r="C11" s="30" t="s">
        <v>83</v>
      </c>
      <c r="D11" s="28" t="s">
        <v>91</v>
      </c>
      <c r="E11" s="28" t="s">
        <v>94</v>
      </c>
      <c r="F11" s="25">
        <v>500.0</v>
      </c>
      <c r="G11" s="25">
        <v>600.0</v>
      </c>
      <c r="H11" s="22">
        <v>150.0</v>
      </c>
    </row>
    <row r="12">
      <c r="B12" s="28" t="s">
        <v>95</v>
      </c>
      <c r="C12" s="30" t="s">
        <v>83</v>
      </c>
      <c r="D12" s="28" t="s">
        <v>96</v>
      </c>
      <c r="E12" s="28" t="s">
        <v>85</v>
      </c>
      <c r="F12" s="25">
        <v>400.0</v>
      </c>
      <c r="G12" s="25">
        <v>500.0</v>
      </c>
      <c r="H12" s="22">
        <v>120.0</v>
      </c>
    </row>
    <row r="13">
      <c r="B13" s="28" t="s">
        <v>97</v>
      </c>
      <c r="C13" s="30" t="s">
        <v>83</v>
      </c>
      <c r="D13" s="28" t="s">
        <v>96</v>
      </c>
      <c r="E13" s="28" t="s">
        <v>87</v>
      </c>
      <c r="F13" s="25">
        <v>420.0</v>
      </c>
      <c r="G13" s="25">
        <v>520.0</v>
      </c>
      <c r="H13" s="22">
        <v>130.0</v>
      </c>
    </row>
    <row r="14">
      <c r="B14" s="28" t="s">
        <v>98</v>
      </c>
      <c r="C14" s="30" t="s">
        <v>83</v>
      </c>
      <c r="D14" s="28" t="s">
        <v>96</v>
      </c>
      <c r="E14" s="28" t="s">
        <v>89</v>
      </c>
      <c r="F14" s="25">
        <v>440.0</v>
      </c>
      <c r="G14" s="25">
        <v>540.0</v>
      </c>
      <c r="H14" s="22">
        <v>150.0</v>
      </c>
    </row>
    <row r="15">
      <c r="B15" s="28" t="s">
        <v>99</v>
      </c>
      <c r="C15" s="30" t="s">
        <v>83</v>
      </c>
      <c r="D15" s="28" t="s">
        <v>100</v>
      </c>
      <c r="E15" s="28" t="s">
        <v>85</v>
      </c>
      <c r="F15" s="25">
        <v>540.0</v>
      </c>
      <c r="G15" s="25">
        <v>640.0</v>
      </c>
      <c r="H15" s="22">
        <v>150.0</v>
      </c>
    </row>
    <row r="16">
      <c r="B16" s="28" t="s">
        <v>101</v>
      </c>
      <c r="C16" s="30" t="s">
        <v>83</v>
      </c>
      <c r="D16" s="28" t="s">
        <v>100</v>
      </c>
      <c r="E16" s="28" t="s">
        <v>87</v>
      </c>
      <c r="F16" s="25">
        <v>580.0</v>
      </c>
      <c r="G16" s="25">
        <v>680.0</v>
      </c>
      <c r="H16" s="22">
        <v>160.0</v>
      </c>
    </row>
    <row r="17">
      <c r="B17" s="28" t="s">
        <v>102</v>
      </c>
      <c r="C17" s="30" t="s">
        <v>83</v>
      </c>
      <c r="D17" s="28" t="s">
        <v>100</v>
      </c>
      <c r="E17" s="28" t="s">
        <v>103</v>
      </c>
      <c r="F17" s="25">
        <v>610.0</v>
      </c>
      <c r="G17" s="25">
        <v>710.0</v>
      </c>
      <c r="H17" s="22">
        <v>180.0</v>
      </c>
    </row>
    <row r="18">
      <c r="B18" s="28" t="s">
        <v>104</v>
      </c>
      <c r="C18" s="30" t="s">
        <v>105</v>
      </c>
      <c r="D18" s="28" t="s">
        <v>106</v>
      </c>
      <c r="E18" s="28" t="s">
        <v>85</v>
      </c>
      <c r="F18" s="25">
        <v>500.0</v>
      </c>
      <c r="G18" s="25">
        <v>600.0</v>
      </c>
      <c r="H18" s="22">
        <v>150.0</v>
      </c>
    </row>
    <row r="19">
      <c r="B19" s="28" t="s">
        <v>107</v>
      </c>
      <c r="C19" s="30" t="s">
        <v>105</v>
      </c>
      <c r="D19" s="28" t="s">
        <v>106</v>
      </c>
      <c r="E19" s="28" t="s">
        <v>87</v>
      </c>
      <c r="F19" s="25">
        <v>540.0</v>
      </c>
      <c r="G19" s="25">
        <v>640.0</v>
      </c>
      <c r="H19" s="22">
        <v>160.0</v>
      </c>
    </row>
    <row r="20">
      <c r="B20" s="28" t="s">
        <v>108</v>
      </c>
      <c r="C20" s="30" t="s">
        <v>105</v>
      </c>
      <c r="D20" s="28" t="s">
        <v>106</v>
      </c>
      <c r="E20" s="28" t="s">
        <v>103</v>
      </c>
      <c r="F20" s="25">
        <v>600.0</v>
      </c>
      <c r="G20" s="25">
        <v>700.0</v>
      </c>
      <c r="H20" s="22">
        <v>180.0</v>
      </c>
    </row>
    <row r="21" ht="15.75" customHeight="1">
      <c r="B21" s="28" t="s">
        <v>109</v>
      </c>
      <c r="C21" s="30" t="s">
        <v>105</v>
      </c>
      <c r="D21" s="28" t="s">
        <v>110</v>
      </c>
      <c r="E21" s="28" t="s">
        <v>111</v>
      </c>
      <c r="F21" s="25">
        <v>640.0</v>
      </c>
      <c r="G21" s="25">
        <v>740.0</v>
      </c>
      <c r="H21" s="22">
        <v>180.0</v>
      </c>
    </row>
    <row r="22" ht="15.75" customHeight="1">
      <c r="B22" s="28" t="s">
        <v>112</v>
      </c>
      <c r="C22" s="30" t="s">
        <v>105</v>
      </c>
      <c r="D22" s="28" t="s">
        <v>110</v>
      </c>
      <c r="E22" s="28" t="s">
        <v>113</v>
      </c>
      <c r="F22" s="25">
        <v>670.0</v>
      </c>
      <c r="G22" s="25">
        <v>770.0</v>
      </c>
      <c r="H22" s="22">
        <v>200.0</v>
      </c>
    </row>
    <row r="23" ht="15.75" customHeight="1">
      <c r="B23" s="28" t="s">
        <v>114</v>
      </c>
      <c r="C23" s="30" t="s">
        <v>105</v>
      </c>
      <c r="D23" s="28" t="s">
        <v>110</v>
      </c>
      <c r="E23" s="28" t="s">
        <v>115</v>
      </c>
      <c r="F23" s="25">
        <v>700.0</v>
      </c>
      <c r="G23" s="25">
        <v>800.0</v>
      </c>
      <c r="H23" s="22">
        <v>220.0</v>
      </c>
    </row>
    <row r="24" ht="15.75" customHeight="1">
      <c r="B24" s="28" t="s">
        <v>116</v>
      </c>
      <c r="C24" s="30" t="s">
        <v>117</v>
      </c>
      <c r="D24" s="28" t="s">
        <v>118</v>
      </c>
      <c r="E24" s="28" t="s">
        <v>119</v>
      </c>
      <c r="F24" s="25">
        <v>50.0</v>
      </c>
      <c r="G24" s="25">
        <v>50.0</v>
      </c>
      <c r="H24" s="22">
        <v>15.0</v>
      </c>
    </row>
    <row r="25" ht="15.75" customHeight="1">
      <c r="B25" s="28" t="s">
        <v>120</v>
      </c>
      <c r="C25" s="30" t="s">
        <v>117</v>
      </c>
      <c r="D25" s="28" t="s">
        <v>121</v>
      </c>
      <c r="E25" s="28" t="s">
        <v>119</v>
      </c>
      <c r="F25" s="25">
        <v>60.0</v>
      </c>
      <c r="G25" s="25">
        <v>60.0</v>
      </c>
      <c r="H25" s="22">
        <v>20.0</v>
      </c>
    </row>
    <row r="26" ht="15.75" customHeight="1">
      <c r="B26" s="28" t="s">
        <v>122</v>
      </c>
      <c r="C26" s="30" t="s">
        <v>117</v>
      </c>
      <c r="D26" s="28" t="s">
        <v>123</v>
      </c>
      <c r="E26" s="28" t="s">
        <v>119</v>
      </c>
      <c r="F26" s="25">
        <v>80.0</v>
      </c>
      <c r="G26" s="25">
        <v>160.0</v>
      </c>
      <c r="H26" s="22">
        <v>30.0</v>
      </c>
    </row>
    <row r="27" ht="15.75" customHeight="1">
      <c r="B27" s="28" t="s">
        <v>124</v>
      </c>
      <c r="C27" s="30" t="s">
        <v>117</v>
      </c>
      <c r="D27" s="28" t="s">
        <v>125</v>
      </c>
      <c r="E27" s="28" t="s">
        <v>126</v>
      </c>
      <c r="F27" s="25">
        <v>5.0</v>
      </c>
      <c r="G27" s="25">
        <v>5.0</v>
      </c>
      <c r="H27" s="22">
        <v>5.0</v>
      </c>
    </row>
    <row r="28" ht="15.75" customHeight="1">
      <c r="B28" s="28" t="s">
        <v>127</v>
      </c>
      <c r="C28" s="30" t="s">
        <v>128</v>
      </c>
      <c r="D28" s="28" t="s">
        <v>118</v>
      </c>
      <c r="E28" s="28" t="s">
        <v>129</v>
      </c>
      <c r="F28" s="25">
        <v>50.0</v>
      </c>
      <c r="G28" s="25">
        <v>100.0</v>
      </c>
      <c r="H28" s="22">
        <v>20.0</v>
      </c>
    </row>
    <row r="29" ht="15.75" customHeight="1">
      <c r="B29" s="28" t="s">
        <v>130</v>
      </c>
      <c r="C29" s="30" t="s">
        <v>128</v>
      </c>
      <c r="D29" s="28" t="s">
        <v>121</v>
      </c>
      <c r="E29" s="28" t="s">
        <v>129</v>
      </c>
      <c r="F29" s="25">
        <v>100.0</v>
      </c>
      <c r="G29" s="25">
        <v>120.0</v>
      </c>
      <c r="H29" s="22">
        <v>25.0</v>
      </c>
    </row>
    <row r="30" ht="15.75" customHeight="1">
      <c r="B30" s="28" t="s">
        <v>131</v>
      </c>
      <c r="C30" s="30" t="s">
        <v>128</v>
      </c>
      <c r="D30" s="28" t="s">
        <v>123</v>
      </c>
      <c r="E30" s="28" t="s">
        <v>129</v>
      </c>
      <c r="F30" s="25">
        <v>150.0</v>
      </c>
      <c r="G30" s="25">
        <v>250.0</v>
      </c>
      <c r="H30" s="22">
        <v>40.0</v>
      </c>
    </row>
    <row r="31" ht="15.75" customHeight="1">
      <c r="B31" s="28" t="s">
        <v>132</v>
      </c>
      <c r="C31" s="30" t="s">
        <v>128</v>
      </c>
      <c r="D31" s="28" t="s">
        <v>125</v>
      </c>
      <c r="E31" s="28" t="s">
        <v>126</v>
      </c>
      <c r="F31" s="25">
        <v>10.0</v>
      </c>
      <c r="G31" s="25">
        <v>10.0</v>
      </c>
      <c r="H31" s="22">
        <v>5.0</v>
      </c>
    </row>
    <row r="32" ht="15.75" customHeight="1">
      <c r="B32" s="28" t="s">
        <v>133</v>
      </c>
      <c r="C32" s="30" t="s">
        <v>134</v>
      </c>
      <c r="D32" s="28" t="s">
        <v>135</v>
      </c>
      <c r="E32" s="28" t="s">
        <v>136</v>
      </c>
      <c r="F32" s="25">
        <v>200.0</v>
      </c>
      <c r="G32" s="25">
        <v>200.0</v>
      </c>
      <c r="H32" s="22">
        <v>25.0</v>
      </c>
    </row>
    <row r="33" ht="15.75" customHeight="1">
      <c r="B33" s="28" t="s">
        <v>137</v>
      </c>
      <c r="C33" s="30" t="s">
        <v>134</v>
      </c>
      <c r="D33" s="28" t="s">
        <v>138</v>
      </c>
      <c r="E33" s="28" t="s">
        <v>139</v>
      </c>
      <c r="F33" s="25">
        <v>300.0</v>
      </c>
      <c r="G33" s="25">
        <v>300.0</v>
      </c>
      <c r="H33" s="22">
        <v>75.0</v>
      </c>
    </row>
    <row r="34" ht="15.75" customHeight="1">
      <c r="B34" s="28" t="s">
        <v>140</v>
      </c>
      <c r="C34" s="30" t="s">
        <v>134</v>
      </c>
      <c r="D34" s="28" t="s">
        <v>141</v>
      </c>
      <c r="E34" s="28" t="s">
        <v>142</v>
      </c>
      <c r="F34" s="25">
        <v>500.0</v>
      </c>
      <c r="G34" s="25">
        <v>500.0</v>
      </c>
      <c r="H34" s="22">
        <v>150.0</v>
      </c>
    </row>
    <row r="35" ht="15.75" customHeight="1">
      <c r="B35" s="28" t="s">
        <v>143</v>
      </c>
      <c r="C35" s="30" t="s">
        <v>144</v>
      </c>
      <c r="D35" s="28" t="s">
        <v>145</v>
      </c>
      <c r="E35" s="28" t="s">
        <v>146</v>
      </c>
      <c r="F35" s="25">
        <v>50.0</v>
      </c>
      <c r="G35" s="25">
        <v>50.0</v>
      </c>
      <c r="H35" s="22">
        <v>10.0</v>
      </c>
    </row>
    <row r="36" ht="15.75" customHeight="1">
      <c r="B36" s="28" t="s">
        <v>147</v>
      </c>
      <c r="C36" s="30" t="s">
        <v>144</v>
      </c>
      <c r="D36" s="28" t="s">
        <v>148</v>
      </c>
      <c r="E36" s="28" t="s">
        <v>146</v>
      </c>
      <c r="F36" s="25">
        <v>70.0</v>
      </c>
      <c r="G36" s="25">
        <v>70.0</v>
      </c>
      <c r="H36" s="22">
        <v>15.0</v>
      </c>
    </row>
    <row r="37" ht="15.75" customHeight="1">
      <c r="B37" s="28" t="s">
        <v>149</v>
      </c>
      <c r="C37" s="30" t="s">
        <v>144</v>
      </c>
      <c r="D37" s="28" t="s">
        <v>150</v>
      </c>
      <c r="E37" s="28" t="s">
        <v>151</v>
      </c>
      <c r="F37" s="25">
        <v>50.0</v>
      </c>
      <c r="G37" s="25">
        <v>50.0</v>
      </c>
      <c r="H37" s="22">
        <v>10.0</v>
      </c>
    </row>
    <row r="38" ht="15.75" customHeight="1">
      <c r="B38" s="28" t="s">
        <v>152</v>
      </c>
      <c r="C38" s="30" t="s">
        <v>144</v>
      </c>
      <c r="D38" s="28" t="s">
        <v>153</v>
      </c>
      <c r="E38" s="28" t="s">
        <v>151</v>
      </c>
      <c r="F38" s="25">
        <v>5.0</v>
      </c>
      <c r="G38" s="25">
        <v>5.0</v>
      </c>
      <c r="H38" s="22">
        <v>5.0</v>
      </c>
    </row>
    <row r="39" ht="15.75" customHeight="1">
      <c r="B39" s="28" t="s">
        <v>154</v>
      </c>
      <c r="C39" s="30" t="s">
        <v>144</v>
      </c>
      <c r="D39" s="28" t="s">
        <v>155</v>
      </c>
      <c r="E39" s="28" t="s">
        <v>156</v>
      </c>
      <c r="F39" s="25">
        <v>70.0</v>
      </c>
      <c r="G39" s="25">
        <v>70.0</v>
      </c>
      <c r="H39" s="22">
        <v>15.0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8.0"/>
    <col customWidth="1" min="3" max="3" width="32.0"/>
    <col customWidth="1" min="4" max="6" width="14.0"/>
    <col customWidth="1" min="7" max="7" width="22.0"/>
    <col customWidth="1" min="8" max="8" width="10.0"/>
    <col customWidth="1" min="9" max="9" width="45.0"/>
    <col customWidth="1" min="10" max="10" width="16.0"/>
    <col customWidth="1" min="11" max="26" width="8.71"/>
  </cols>
  <sheetData>
    <row r="2">
      <c r="B2" s="17" t="s">
        <v>157</v>
      </c>
    </row>
    <row r="3">
      <c r="B3" s="18" t="s">
        <v>158</v>
      </c>
    </row>
    <row r="5">
      <c r="B5" s="13" t="s">
        <v>63</v>
      </c>
      <c r="C5" s="13" t="s">
        <v>64</v>
      </c>
      <c r="D5" s="13" t="s">
        <v>159</v>
      </c>
      <c r="E5" s="13" t="s">
        <v>160</v>
      </c>
      <c r="F5" s="13" t="s">
        <v>161</v>
      </c>
      <c r="G5" s="13" t="s">
        <v>162</v>
      </c>
      <c r="H5" s="13" t="s">
        <v>163</v>
      </c>
      <c r="I5" s="13" t="s">
        <v>43</v>
      </c>
    </row>
    <row r="6">
      <c r="B6" s="22" t="s">
        <v>164</v>
      </c>
      <c r="C6" s="31" t="s">
        <v>165</v>
      </c>
      <c r="D6" s="32">
        <v>0.8</v>
      </c>
      <c r="E6" s="32">
        <v>0.15</v>
      </c>
      <c r="F6" s="32">
        <v>0.05</v>
      </c>
      <c r="G6" s="25">
        <v>0.0</v>
      </c>
      <c r="H6" s="22" t="s">
        <v>166</v>
      </c>
      <c r="I6" s="33" t="s">
        <v>167</v>
      </c>
      <c r="J6" s="34">
        <f t="shared" ref="J6:J9" si="1">D6+E6+F6</f>
        <v>1</v>
      </c>
    </row>
    <row r="7">
      <c r="B7" s="22" t="s">
        <v>168</v>
      </c>
      <c r="C7" s="31" t="s">
        <v>169</v>
      </c>
      <c r="D7" s="32">
        <v>0.4</v>
      </c>
      <c r="E7" s="32">
        <v>0.35</v>
      </c>
      <c r="F7" s="32">
        <v>0.25</v>
      </c>
      <c r="G7" s="25">
        <v>0.0</v>
      </c>
      <c r="H7" s="22" t="s">
        <v>166</v>
      </c>
      <c r="I7" s="33" t="s">
        <v>170</v>
      </c>
      <c r="J7" s="34">
        <f t="shared" si="1"/>
        <v>1</v>
      </c>
    </row>
    <row r="8">
      <c r="B8" s="22" t="s">
        <v>171</v>
      </c>
      <c r="C8" s="31" t="s">
        <v>172</v>
      </c>
      <c r="D8" s="32">
        <v>0.4</v>
      </c>
      <c r="E8" s="32">
        <v>0.35</v>
      </c>
      <c r="F8" s="32">
        <v>0.25</v>
      </c>
      <c r="G8" s="25">
        <v>0.0</v>
      </c>
      <c r="H8" s="22" t="s">
        <v>166</v>
      </c>
      <c r="I8" s="33" t="s">
        <v>173</v>
      </c>
      <c r="J8" s="34">
        <f t="shared" si="1"/>
        <v>1</v>
      </c>
    </row>
    <row r="9">
      <c r="B9" s="22" t="s">
        <v>174</v>
      </c>
      <c r="C9" s="31" t="s">
        <v>175</v>
      </c>
      <c r="D9" s="32">
        <v>0.25</v>
      </c>
      <c r="E9" s="32">
        <v>0.45</v>
      </c>
      <c r="F9" s="32">
        <v>0.3</v>
      </c>
      <c r="G9" s="25">
        <v>1200.0</v>
      </c>
      <c r="H9" s="22" t="s">
        <v>176</v>
      </c>
      <c r="I9" s="33" t="s">
        <v>177</v>
      </c>
      <c r="J9" s="34">
        <f t="shared" si="1"/>
        <v>1</v>
      </c>
    </row>
    <row r="11">
      <c r="C11" s="35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71"/>
    <col customWidth="1" min="2" max="2" width="8.0"/>
    <col customWidth="1" min="3" max="3" width="13.0"/>
    <col customWidth="1" min="4" max="4" width="30.0"/>
    <col customWidth="1" min="5" max="5" width="22.0"/>
    <col customWidth="1" min="6" max="6" width="16.0"/>
    <col customWidth="1" min="7" max="7" width="22.0"/>
    <col customWidth="1" min="8" max="8" width="16.0"/>
    <col customWidth="1" min="9" max="9" width="20.0"/>
    <col customWidth="1" min="10" max="10" width="28.0"/>
    <col customWidth="1" min="11" max="26" width="8.71"/>
  </cols>
  <sheetData>
    <row r="2">
      <c r="B2" s="17" t="s">
        <v>179</v>
      </c>
    </row>
    <row r="3">
      <c r="B3" s="18" t="s">
        <v>180</v>
      </c>
    </row>
    <row r="5">
      <c r="B5" s="13" t="s">
        <v>63</v>
      </c>
      <c r="C5" s="13" t="s">
        <v>14</v>
      </c>
      <c r="D5" s="13" t="s">
        <v>181</v>
      </c>
      <c r="E5" s="13" t="s">
        <v>77</v>
      </c>
      <c r="F5" s="13" t="s">
        <v>182</v>
      </c>
      <c r="G5" s="13" t="s">
        <v>183</v>
      </c>
      <c r="H5" s="13" t="s">
        <v>42</v>
      </c>
      <c r="I5" s="13" t="s">
        <v>184</v>
      </c>
      <c r="J5" s="13" t="s">
        <v>43</v>
      </c>
    </row>
    <row r="6">
      <c r="B6" s="19" t="s">
        <v>185</v>
      </c>
      <c r="C6" s="20"/>
      <c r="D6" s="19"/>
      <c r="E6" s="19"/>
      <c r="F6" s="25"/>
      <c r="G6" s="19"/>
      <c r="H6" s="19"/>
      <c r="I6" s="19"/>
      <c r="J6" s="19"/>
    </row>
    <row r="7">
      <c r="B7" s="19" t="s">
        <v>186</v>
      </c>
      <c r="C7" s="20"/>
      <c r="D7" s="19"/>
      <c r="E7" s="19"/>
      <c r="F7" s="25"/>
      <c r="G7" s="19"/>
      <c r="H7" s="19"/>
      <c r="I7" s="19"/>
      <c r="J7" s="19"/>
    </row>
    <row r="8">
      <c r="B8" s="19" t="s">
        <v>187</v>
      </c>
      <c r="C8" s="20"/>
      <c r="D8" s="19"/>
      <c r="E8" s="19"/>
      <c r="F8" s="25"/>
      <c r="G8" s="19"/>
      <c r="H8" s="19"/>
      <c r="I8" s="19"/>
      <c r="J8" s="19"/>
    </row>
    <row r="9">
      <c r="B9" s="19"/>
      <c r="C9" s="20"/>
      <c r="D9" s="19"/>
      <c r="E9" s="19"/>
      <c r="F9" s="25"/>
      <c r="G9" s="19"/>
      <c r="H9" s="19"/>
      <c r="I9" s="19"/>
      <c r="J9" s="19"/>
    </row>
    <row r="10">
      <c r="B10" s="19"/>
      <c r="C10" s="20"/>
      <c r="D10" s="19"/>
      <c r="E10" s="19"/>
      <c r="F10" s="25"/>
      <c r="G10" s="19"/>
      <c r="H10" s="19"/>
      <c r="I10" s="19"/>
      <c r="J10" s="19"/>
    </row>
    <row r="11">
      <c r="B11" s="19"/>
      <c r="C11" s="20"/>
      <c r="D11" s="19"/>
      <c r="E11" s="19"/>
      <c r="F11" s="25"/>
      <c r="G11" s="19"/>
      <c r="H11" s="19"/>
      <c r="I11" s="19"/>
      <c r="J11" s="19"/>
    </row>
    <row r="12">
      <c r="B12" s="19"/>
      <c r="C12" s="20"/>
      <c r="D12" s="19"/>
      <c r="E12" s="19"/>
      <c r="F12" s="25"/>
      <c r="G12" s="19"/>
      <c r="H12" s="19"/>
      <c r="I12" s="19"/>
      <c r="J12" s="19"/>
    </row>
    <row r="13">
      <c r="B13" s="19"/>
      <c r="C13" s="20"/>
      <c r="D13" s="19"/>
      <c r="E13" s="19"/>
      <c r="F13" s="25"/>
      <c r="G13" s="19"/>
      <c r="H13" s="19"/>
      <c r="I13" s="19"/>
      <c r="J13" s="19"/>
    </row>
    <row r="14">
      <c r="B14" s="19"/>
      <c r="C14" s="20"/>
      <c r="D14" s="19"/>
      <c r="E14" s="19"/>
      <c r="F14" s="25"/>
      <c r="G14" s="19"/>
      <c r="H14" s="19"/>
      <c r="I14" s="19"/>
      <c r="J14" s="19"/>
    </row>
    <row r="15">
      <c r="B15" s="19"/>
      <c r="C15" s="20"/>
      <c r="D15" s="19"/>
      <c r="E15" s="19"/>
      <c r="F15" s="25"/>
      <c r="G15" s="19"/>
      <c r="H15" s="19"/>
      <c r="I15" s="19"/>
      <c r="J15" s="19"/>
    </row>
    <row r="16">
      <c r="B16" s="19"/>
      <c r="C16" s="20"/>
      <c r="D16" s="19"/>
      <c r="E16" s="19"/>
      <c r="F16" s="25"/>
      <c r="G16" s="19"/>
      <c r="H16" s="19"/>
      <c r="I16" s="19"/>
      <c r="J16" s="19"/>
    </row>
    <row r="17">
      <c r="B17" s="19"/>
      <c r="C17" s="20"/>
      <c r="D17" s="19"/>
      <c r="E17" s="19"/>
      <c r="F17" s="25"/>
      <c r="G17" s="19"/>
      <c r="H17" s="19"/>
      <c r="I17" s="19"/>
      <c r="J17" s="19"/>
    </row>
    <row r="18">
      <c r="B18" s="19"/>
      <c r="C18" s="20"/>
      <c r="D18" s="19"/>
      <c r="E18" s="19"/>
      <c r="F18" s="25"/>
      <c r="G18" s="19"/>
      <c r="H18" s="19"/>
      <c r="I18" s="19"/>
      <c r="J18" s="19"/>
    </row>
    <row r="19">
      <c r="B19" s="19"/>
      <c r="C19" s="20"/>
      <c r="D19" s="19"/>
      <c r="E19" s="19"/>
      <c r="F19" s="25"/>
      <c r="G19" s="19"/>
      <c r="H19" s="19"/>
      <c r="I19" s="19"/>
      <c r="J19" s="19"/>
    </row>
    <row r="20">
      <c r="B20" s="19"/>
      <c r="C20" s="20"/>
      <c r="D20" s="19"/>
      <c r="E20" s="19"/>
      <c r="F20" s="25"/>
      <c r="G20" s="19"/>
      <c r="H20" s="19"/>
      <c r="I20" s="19"/>
      <c r="J20" s="19"/>
    </row>
    <row r="21" ht="15.75" customHeight="1">
      <c r="B21" s="19"/>
      <c r="C21" s="20"/>
      <c r="D21" s="19"/>
      <c r="E21" s="19"/>
      <c r="F21" s="25"/>
      <c r="G21" s="19"/>
      <c r="H21" s="19"/>
      <c r="I21" s="19"/>
      <c r="J21" s="19"/>
    </row>
    <row r="22" ht="15.75" customHeight="1">
      <c r="B22" s="19"/>
      <c r="C22" s="20"/>
      <c r="D22" s="19"/>
      <c r="E22" s="19"/>
      <c r="F22" s="25"/>
      <c r="G22" s="19"/>
      <c r="H22" s="19"/>
      <c r="I22" s="19"/>
      <c r="J22" s="19"/>
    </row>
    <row r="23" ht="15.75" customHeight="1">
      <c r="B23" s="19"/>
      <c r="C23" s="20"/>
      <c r="D23" s="19"/>
      <c r="E23" s="19"/>
      <c r="F23" s="25"/>
      <c r="G23" s="19"/>
      <c r="H23" s="19"/>
      <c r="I23" s="19"/>
      <c r="J23" s="19"/>
    </row>
    <row r="24" ht="15.75" customHeight="1">
      <c r="B24" s="19"/>
      <c r="C24" s="20"/>
      <c r="D24" s="19"/>
      <c r="E24" s="19"/>
      <c r="F24" s="25"/>
      <c r="G24" s="19"/>
      <c r="H24" s="19"/>
      <c r="I24" s="19"/>
      <c r="J24" s="19"/>
    </row>
    <row r="25" ht="15.75" customHeight="1">
      <c r="B25" s="19"/>
      <c r="C25" s="20"/>
      <c r="D25" s="19"/>
      <c r="E25" s="19"/>
      <c r="F25" s="25"/>
      <c r="G25" s="19"/>
      <c r="H25" s="19"/>
      <c r="I25" s="19"/>
      <c r="J25" s="19"/>
    </row>
    <row r="26" ht="15.75" customHeight="1">
      <c r="B26" s="19"/>
      <c r="C26" s="20"/>
      <c r="D26" s="19"/>
      <c r="E26" s="19"/>
      <c r="F26" s="25"/>
      <c r="G26" s="19"/>
      <c r="H26" s="19"/>
      <c r="I26" s="19"/>
      <c r="J26" s="19"/>
    </row>
    <row r="27" ht="15.75" customHeight="1">
      <c r="B27" s="19"/>
      <c r="C27" s="20"/>
      <c r="D27" s="19"/>
      <c r="E27" s="19"/>
      <c r="F27" s="25"/>
      <c r="G27" s="19"/>
      <c r="H27" s="19"/>
      <c r="I27" s="19"/>
      <c r="J27" s="19"/>
    </row>
    <row r="28" ht="15.75" customHeight="1">
      <c r="B28" s="19"/>
      <c r="C28" s="20"/>
      <c r="D28" s="19"/>
      <c r="E28" s="19"/>
      <c r="F28" s="25"/>
      <c r="G28" s="19"/>
      <c r="H28" s="19"/>
      <c r="I28" s="19"/>
      <c r="J28" s="19"/>
    </row>
    <row r="29" ht="15.75" customHeight="1">
      <c r="B29" s="19"/>
      <c r="C29" s="20"/>
      <c r="D29" s="19"/>
      <c r="E29" s="19"/>
      <c r="F29" s="25"/>
      <c r="G29" s="19"/>
      <c r="H29" s="19"/>
      <c r="I29" s="19"/>
      <c r="J29" s="19"/>
    </row>
    <row r="30" ht="15.75" customHeight="1">
      <c r="B30" s="19"/>
      <c r="C30" s="20"/>
      <c r="D30" s="19"/>
      <c r="E30" s="19"/>
      <c r="F30" s="25"/>
      <c r="G30" s="19"/>
      <c r="H30" s="19"/>
      <c r="I30" s="19"/>
      <c r="J30" s="19"/>
    </row>
    <row r="31" ht="15.75" customHeight="1">
      <c r="B31" s="19"/>
      <c r="C31" s="20"/>
      <c r="D31" s="19"/>
      <c r="E31" s="19"/>
      <c r="F31" s="25"/>
      <c r="G31" s="19"/>
      <c r="H31" s="19"/>
      <c r="I31" s="19"/>
      <c r="J31" s="19"/>
    </row>
    <row r="32" ht="15.75" customHeight="1">
      <c r="B32" s="19"/>
      <c r="C32" s="20"/>
      <c r="D32" s="19"/>
      <c r="E32" s="19"/>
      <c r="F32" s="25"/>
      <c r="G32" s="19"/>
      <c r="H32" s="19"/>
      <c r="I32" s="19"/>
      <c r="J32" s="19"/>
    </row>
    <row r="33" ht="15.75" customHeight="1">
      <c r="B33" s="19"/>
      <c r="C33" s="20"/>
      <c r="D33" s="19"/>
      <c r="E33" s="19"/>
      <c r="F33" s="25"/>
      <c r="G33" s="19"/>
      <c r="H33" s="19"/>
      <c r="I33" s="19"/>
      <c r="J33" s="19"/>
    </row>
    <row r="34" ht="15.75" customHeight="1">
      <c r="B34" s="19"/>
      <c r="C34" s="20"/>
      <c r="D34" s="19"/>
      <c r="E34" s="19"/>
      <c r="F34" s="25"/>
      <c r="G34" s="19"/>
      <c r="H34" s="19"/>
      <c r="I34" s="19"/>
      <c r="J34" s="19"/>
    </row>
    <row r="35" ht="15.75" customHeight="1">
      <c r="B35" s="19"/>
      <c r="C35" s="20"/>
      <c r="D35" s="19"/>
      <c r="E35" s="19"/>
      <c r="F35" s="25"/>
      <c r="G35" s="19"/>
      <c r="H35" s="19"/>
      <c r="I35" s="19"/>
      <c r="J35" s="19"/>
    </row>
    <row r="36" ht="15.75" customHeight="1">
      <c r="B36" s="19"/>
      <c r="C36" s="20"/>
      <c r="D36" s="19"/>
      <c r="E36" s="19"/>
      <c r="F36" s="25"/>
      <c r="G36" s="19"/>
      <c r="H36" s="19"/>
      <c r="I36" s="19"/>
      <c r="J36" s="19"/>
    </row>
    <row r="37" ht="15.75" customHeight="1">
      <c r="B37" s="19"/>
      <c r="C37" s="20"/>
      <c r="D37" s="19"/>
      <c r="E37" s="19"/>
      <c r="F37" s="25"/>
      <c r="G37" s="19"/>
      <c r="H37" s="19"/>
      <c r="I37" s="19"/>
      <c r="J37" s="19"/>
    </row>
    <row r="38" ht="15.75" customHeight="1">
      <c r="B38" s="19"/>
      <c r="C38" s="20"/>
      <c r="D38" s="19"/>
      <c r="E38" s="19"/>
      <c r="F38" s="25"/>
      <c r="G38" s="19"/>
      <c r="H38" s="19"/>
      <c r="I38" s="19"/>
      <c r="J38" s="19"/>
    </row>
    <row r="39" ht="15.75" customHeight="1">
      <c r="B39" s="19"/>
      <c r="C39" s="20"/>
      <c r="D39" s="19"/>
      <c r="E39" s="19"/>
      <c r="F39" s="25"/>
      <c r="G39" s="19"/>
      <c r="H39" s="19"/>
      <c r="I39" s="19"/>
      <c r="J39" s="19"/>
    </row>
    <row r="40" ht="15.75" customHeight="1">
      <c r="B40" s="19"/>
      <c r="C40" s="20"/>
      <c r="D40" s="19"/>
      <c r="E40" s="19"/>
      <c r="F40" s="25"/>
      <c r="G40" s="19"/>
      <c r="H40" s="19"/>
      <c r="I40" s="19"/>
      <c r="J40" s="19"/>
    </row>
    <row r="41" ht="15.75" customHeight="1">
      <c r="B41" s="19"/>
      <c r="C41" s="20"/>
      <c r="D41" s="19"/>
      <c r="E41" s="19"/>
      <c r="F41" s="25"/>
      <c r="G41" s="19"/>
      <c r="H41" s="19"/>
      <c r="I41" s="19"/>
      <c r="J41" s="19"/>
    </row>
    <row r="42" ht="15.75" customHeight="1">
      <c r="B42" s="19"/>
      <c r="C42" s="20"/>
      <c r="D42" s="19"/>
      <c r="E42" s="19"/>
      <c r="F42" s="25"/>
      <c r="G42" s="19"/>
      <c r="H42" s="19"/>
      <c r="I42" s="19"/>
      <c r="J42" s="19"/>
    </row>
    <row r="43" ht="15.75" customHeight="1">
      <c r="B43" s="19"/>
      <c r="C43" s="20"/>
      <c r="D43" s="19"/>
      <c r="E43" s="19"/>
      <c r="F43" s="25"/>
      <c r="G43" s="19"/>
      <c r="H43" s="19"/>
      <c r="I43" s="19"/>
      <c r="J43" s="19"/>
    </row>
    <row r="44" ht="15.75" customHeight="1">
      <c r="B44" s="19"/>
      <c r="C44" s="20"/>
      <c r="D44" s="19"/>
      <c r="E44" s="19"/>
      <c r="F44" s="25"/>
      <c r="G44" s="19"/>
      <c r="H44" s="19"/>
      <c r="I44" s="19"/>
      <c r="J44" s="19"/>
    </row>
    <row r="45" ht="15.75" customHeight="1">
      <c r="B45" s="19"/>
      <c r="C45" s="20"/>
      <c r="D45" s="19"/>
      <c r="E45" s="19"/>
      <c r="F45" s="25"/>
      <c r="G45" s="19"/>
      <c r="H45" s="19"/>
      <c r="I45" s="19"/>
      <c r="J45" s="19"/>
    </row>
    <row r="46" ht="15.75" customHeight="1">
      <c r="B46" s="19"/>
      <c r="C46" s="20"/>
      <c r="D46" s="19"/>
      <c r="E46" s="19"/>
      <c r="F46" s="25"/>
      <c r="G46" s="19"/>
      <c r="H46" s="19"/>
      <c r="I46" s="19"/>
      <c r="J46" s="19"/>
    </row>
    <row r="47" ht="15.75" customHeight="1">
      <c r="B47" s="19"/>
      <c r="C47" s="20"/>
      <c r="D47" s="19"/>
      <c r="E47" s="19"/>
      <c r="F47" s="25"/>
      <c r="G47" s="19"/>
      <c r="H47" s="19"/>
      <c r="I47" s="19"/>
      <c r="J47" s="19"/>
    </row>
    <row r="48" ht="15.75" customHeight="1">
      <c r="B48" s="19"/>
      <c r="C48" s="20"/>
      <c r="D48" s="19"/>
      <c r="E48" s="19"/>
      <c r="F48" s="25"/>
      <c r="G48" s="19"/>
      <c r="H48" s="19"/>
      <c r="I48" s="19"/>
      <c r="J48" s="19"/>
    </row>
    <row r="49" ht="15.75" customHeight="1">
      <c r="B49" s="19"/>
      <c r="C49" s="20"/>
      <c r="D49" s="19"/>
      <c r="E49" s="19"/>
      <c r="F49" s="25"/>
      <c r="G49" s="19"/>
      <c r="H49" s="19"/>
      <c r="I49" s="19"/>
      <c r="J49" s="19"/>
    </row>
    <row r="50" ht="15.75" customHeight="1">
      <c r="B50" s="19"/>
      <c r="C50" s="20"/>
      <c r="D50" s="19"/>
      <c r="E50" s="19"/>
      <c r="F50" s="25"/>
      <c r="G50" s="19"/>
      <c r="H50" s="19"/>
      <c r="I50" s="19"/>
      <c r="J50" s="19"/>
    </row>
    <row r="51" ht="15.75" customHeight="1">
      <c r="B51" s="19"/>
      <c r="C51" s="20"/>
      <c r="D51" s="19"/>
      <c r="E51" s="19"/>
      <c r="F51" s="25"/>
      <c r="G51" s="19"/>
      <c r="H51" s="19"/>
      <c r="I51" s="19"/>
      <c r="J51" s="19"/>
    </row>
    <row r="52" ht="15.75" customHeight="1">
      <c r="B52" s="19"/>
      <c r="C52" s="20"/>
      <c r="D52" s="19"/>
      <c r="E52" s="19"/>
      <c r="F52" s="25"/>
      <c r="G52" s="19"/>
      <c r="H52" s="19"/>
      <c r="I52" s="19"/>
      <c r="J52" s="19"/>
    </row>
    <row r="53" ht="15.75" customHeight="1">
      <c r="B53" s="19"/>
      <c r="C53" s="20"/>
      <c r="D53" s="19"/>
      <c r="E53" s="19"/>
      <c r="F53" s="25"/>
      <c r="G53" s="19"/>
      <c r="H53" s="19"/>
      <c r="I53" s="19"/>
      <c r="J53" s="19"/>
    </row>
    <row r="54" ht="15.75" customHeight="1">
      <c r="B54" s="19"/>
      <c r="C54" s="20"/>
      <c r="D54" s="19"/>
      <c r="E54" s="19"/>
      <c r="F54" s="25"/>
      <c r="G54" s="19"/>
      <c r="H54" s="19"/>
      <c r="I54" s="19"/>
      <c r="J54" s="19"/>
    </row>
    <row r="55" ht="15.75" customHeight="1">
      <c r="B55" s="19"/>
      <c r="C55" s="20"/>
      <c r="D55" s="19"/>
      <c r="E55" s="19"/>
      <c r="F55" s="25"/>
      <c r="G55" s="19"/>
      <c r="H55" s="19"/>
      <c r="I55" s="19"/>
      <c r="J55" s="19"/>
    </row>
    <row r="56" ht="15.75" customHeight="1">
      <c r="B56" s="19"/>
      <c r="C56" s="20"/>
      <c r="D56" s="19"/>
      <c r="E56" s="19"/>
      <c r="F56" s="25"/>
      <c r="G56" s="19"/>
      <c r="H56" s="19"/>
      <c r="I56" s="19"/>
      <c r="J56" s="19"/>
    </row>
    <row r="57" ht="15.75" customHeight="1">
      <c r="B57" s="19"/>
      <c r="C57" s="20"/>
      <c r="D57" s="19"/>
      <c r="E57" s="19"/>
      <c r="F57" s="25"/>
      <c r="G57" s="19"/>
      <c r="H57" s="19"/>
      <c r="I57" s="19"/>
      <c r="J57" s="19"/>
    </row>
    <row r="58" ht="15.75" customHeight="1">
      <c r="B58" s="19"/>
      <c r="C58" s="20"/>
      <c r="D58" s="19"/>
      <c r="E58" s="19"/>
      <c r="F58" s="25"/>
      <c r="G58" s="19"/>
      <c r="H58" s="19"/>
      <c r="I58" s="19"/>
      <c r="J58" s="19"/>
    </row>
    <row r="59" ht="15.75" customHeight="1">
      <c r="B59" s="19"/>
      <c r="C59" s="20"/>
      <c r="D59" s="19"/>
      <c r="E59" s="19"/>
      <c r="F59" s="25"/>
      <c r="G59" s="19"/>
      <c r="H59" s="19"/>
      <c r="I59" s="19"/>
      <c r="J59" s="19"/>
    </row>
    <row r="60" ht="15.75" customHeight="1">
      <c r="B60" s="19"/>
      <c r="C60" s="20"/>
      <c r="D60" s="19"/>
      <c r="E60" s="19"/>
      <c r="F60" s="25"/>
      <c r="G60" s="19"/>
      <c r="H60" s="19"/>
      <c r="I60" s="19"/>
      <c r="J60" s="19"/>
    </row>
    <row r="61" ht="15.75" customHeight="1">
      <c r="B61" s="19"/>
      <c r="C61" s="20"/>
      <c r="D61" s="19"/>
      <c r="E61" s="19"/>
      <c r="F61" s="25"/>
      <c r="G61" s="19"/>
      <c r="H61" s="19"/>
      <c r="I61" s="19"/>
      <c r="J61" s="19"/>
    </row>
    <row r="62" ht="15.75" customHeight="1">
      <c r="B62" s="19"/>
      <c r="C62" s="20"/>
      <c r="D62" s="19"/>
      <c r="E62" s="19"/>
      <c r="F62" s="25"/>
      <c r="G62" s="19"/>
      <c r="H62" s="19"/>
      <c r="I62" s="19"/>
      <c r="J62" s="19"/>
    </row>
    <row r="63" ht="15.75" customHeight="1">
      <c r="B63" s="19"/>
      <c r="C63" s="20"/>
      <c r="D63" s="19"/>
      <c r="E63" s="19"/>
      <c r="F63" s="25"/>
      <c r="G63" s="19"/>
      <c r="H63" s="19"/>
      <c r="I63" s="19"/>
      <c r="J63" s="19"/>
    </row>
    <row r="64" ht="15.75" customHeight="1">
      <c r="B64" s="19"/>
      <c r="C64" s="20"/>
      <c r="D64" s="19"/>
      <c r="E64" s="19"/>
      <c r="F64" s="25"/>
      <c r="G64" s="19"/>
      <c r="H64" s="19"/>
      <c r="I64" s="19"/>
      <c r="J64" s="19"/>
    </row>
    <row r="65" ht="15.75" customHeight="1">
      <c r="B65" s="19"/>
      <c r="C65" s="20"/>
      <c r="D65" s="19"/>
      <c r="E65" s="19"/>
      <c r="F65" s="25"/>
      <c r="G65" s="19"/>
      <c r="H65" s="19"/>
      <c r="I65" s="19"/>
      <c r="J65" s="19"/>
    </row>
    <row r="66" ht="15.75" customHeight="1">
      <c r="B66" s="19"/>
      <c r="C66" s="20"/>
      <c r="D66" s="19"/>
      <c r="E66" s="19"/>
      <c r="F66" s="25"/>
      <c r="G66" s="19"/>
      <c r="H66" s="19"/>
      <c r="I66" s="19"/>
      <c r="J66" s="19"/>
    </row>
    <row r="67" ht="15.75" customHeight="1">
      <c r="B67" s="19"/>
      <c r="C67" s="20"/>
      <c r="D67" s="19"/>
      <c r="E67" s="19"/>
      <c r="F67" s="25"/>
      <c r="G67" s="19"/>
      <c r="H67" s="19"/>
      <c r="I67" s="19"/>
      <c r="J67" s="19"/>
    </row>
    <row r="68" ht="15.75" customHeight="1">
      <c r="B68" s="19"/>
      <c r="C68" s="20"/>
      <c r="D68" s="19"/>
      <c r="E68" s="19"/>
      <c r="F68" s="25"/>
      <c r="G68" s="19"/>
      <c r="H68" s="19"/>
      <c r="I68" s="19"/>
      <c r="J68" s="19"/>
    </row>
    <row r="69" ht="15.75" customHeight="1">
      <c r="B69" s="19"/>
      <c r="C69" s="20"/>
      <c r="D69" s="19"/>
      <c r="E69" s="19"/>
      <c r="F69" s="25"/>
      <c r="G69" s="19"/>
      <c r="H69" s="19"/>
      <c r="I69" s="19"/>
      <c r="J69" s="19"/>
    </row>
    <row r="70" ht="15.75" customHeight="1">
      <c r="B70" s="19"/>
      <c r="C70" s="20"/>
      <c r="D70" s="19"/>
      <c r="E70" s="19"/>
      <c r="F70" s="25"/>
      <c r="G70" s="19"/>
      <c r="H70" s="19"/>
      <c r="I70" s="19"/>
      <c r="J70" s="19"/>
    </row>
    <row r="71" ht="15.75" customHeight="1">
      <c r="B71" s="19"/>
      <c r="C71" s="20"/>
      <c r="D71" s="19"/>
      <c r="E71" s="19"/>
      <c r="F71" s="25"/>
      <c r="G71" s="19"/>
      <c r="H71" s="19"/>
      <c r="I71" s="19"/>
      <c r="J71" s="19"/>
    </row>
    <row r="72" ht="15.75" customHeight="1">
      <c r="B72" s="19"/>
      <c r="C72" s="20"/>
      <c r="D72" s="19"/>
      <c r="E72" s="19"/>
      <c r="F72" s="25"/>
      <c r="G72" s="19"/>
      <c r="H72" s="19"/>
      <c r="I72" s="19"/>
      <c r="J72" s="19"/>
    </row>
    <row r="73" ht="15.75" customHeight="1">
      <c r="B73" s="19"/>
      <c r="C73" s="20"/>
      <c r="D73" s="19"/>
      <c r="E73" s="19"/>
      <c r="F73" s="25"/>
      <c r="G73" s="19"/>
      <c r="H73" s="19"/>
      <c r="I73" s="19"/>
      <c r="J73" s="19"/>
    </row>
    <row r="74" ht="15.75" customHeight="1">
      <c r="B74" s="19"/>
      <c r="C74" s="20"/>
      <c r="D74" s="19"/>
      <c r="E74" s="19"/>
      <c r="F74" s="25"/>
      <c r="G74" s="19"/>
      <c r="H74" s="19"/>
      <c r="I74" s="19"/>
      <c r="J74" s="19"/>
    </row>
    <row r="75" ht="15.75" customHeight="1">
      <c r="B75" s="19"/>
      <c r="C75" s="20"/>
      <c r="D75" s="19"/>
      <c r="E75" s="19"/>
      <c r="F75" s="25"/>
      <c r="G75" s="19"/>
      <c r="H75" s="19"/>
      <c r="I75" s="19"/>
      <c r="J75" s="19"/>
    </row>
    <row r="76" ht="15.75" customHeight="1">
      <c r="B76" s="19"/>
      <c r="C76" s="20"/>
      <c r="D76" s="19"/>
      <c r="E76" s="19"/>
      <c r="F76" s="25"/>
      <c r="G76" s="19"/>
      <c r="H76" s="19"/>
      <c r="I76" s="19"/>
      <c r="J76" s="19"/>
    </row>
    <row r="77" ht="15.75" customHeight="1">
      <c r="B77" s="19"/>
      <c r="C77" s="20"/>
      <c r="D77" s="19"/>
      <c r="E77" s="19"/>
      <c r="F77" s="25"/>
      <c r="G77" s="19"/>
      <c r="H77" s="19"/>
      <c r="I77" s="19"/>
      <c r="J77" s="19"/>
    </row>
    <row r="78" ht="15.75" customHeight="1">
      <c r="B78" s="19"/>
      <c r="C78" s="20"/>
      <c r="D78" s="19"/>
      <c r="E78" s="19"/>
      <c r="F78" s="25"/>
      <c r="G78" s="19"/>
      <c r="H78" s="19"/>
      <c r="I78" s="19"/>
      <c r="J78" s="19"/>
    </row>
    <row r="79" ht="15.75" customHeight="1">
      <c r="B79" s="19"/>
      <c r="C79" s="20"/>
      <c r="D79" s="19"/>
      <c r="E79" s="19"/>
      <c r="F79" s="25"/>
      <c r="G79" s="19"/>
      <c r="H79" s="19"/>
      <c r="I79" s="19"/>
      <c r="J79" s="19"/>
    </row>
    <row r="80" ht="15.75" customHeight="1">
      <c r="B80" s="19"/>
      <c r="C80" s="20"/>
      <c r="D80" s="19"/>
      <c r="E80" s="19"/>
      <c r="F80" s="25"/>
      <c r="G80" s="19"/>
      <c r="H80" s="19"/>
      <c r="I80" s="19"/>
      <c r="J80" s="19"/>
    </row>
    <row r="81" ht="15.75" customHeight="1">
      <c r="B81" s="19"/>
      <c r="C81" s="20"/>
      <c r="D81" s="19"/>
      <c r="E81" s="19"/>
      <c r="F81" s="25"/>
      <c r="G81" s="19"/>
      <c r="H81" s="19"/>
      <c r="I81" s="19"/>
      <c r="J81" s="19"/>
    </row>
    <row r="82" ht="15.75" customHeight="1">
      <c r="B82" s="19"/>
      <c r="C82" s="20"/>
      <c r="D82" s="19"/>
      <c r="E82" s="19"/>
      <c r="F82" s="25"/>
      <c r="G82" s="19"/>
      <c r="H82" s="19"/>
      <c r="I82" s="19"/>
      <c r="J82" s="19"/>
    </row>
    <row r="83" ht="15.75" customHeight="1">
      <c r="B83" s="19"/>
      <c r="C83" s="20"/>
      <c r="D83" s="19"/>
      <c r="E83" s="19"/>
      <c r="F83" s="25"/>
      <c r="G83" s="19"/>
      <c r="H83" s="19"/>
      <c r="I83" s="19"/>
      <c r="J83" s="19"/>
    </row>
    <row r="84" ht="15.75" customHeight="1">
      <c r="B84" s="19"/>
      <c r="C84" s="20"/>
      <c r="D84" s="19"/>
      <c r="E84" s="19"/>
      <c r="F84" s="25"/>
      <c r="G84" s="19"/>
      <c r="H84" s="19"/>
      <c r="I84" s="19"/>
      <c r="J84" s="19"/>
    </row>
    <row r="85" ht="15.75" customHeight="1">
      <c r="B85" s="19"/>
      <c r="C85" s="20"/>
      <c r="D85" s="19"/>
      <c r="E85" s="19"/>
      <c r="F85" s="25"/>
      <c r="G85" s="19"/>
      <c r="H85" s="19"/>
      <c r="I85" s="19"/>
      <c r="J85" s="19"/>
    </row>
    <row r="86" ht="15.75" customHeight="1">
      <c r="B86" s="19"/>
      <c r="C86" s="20"/>
      <c r="D86" s="19"/>
      <c r="E86" s="19"/>
      <c r="F86" s="25"/>
      <c r="G86" s="19"/>
      <c r="H86" s="19"/>
      <c r="I86" s="19"/>
      <c r="J86" s="19"/>
    </row>
    <row r="87" ht="15.75" customHeight="1">
      <c r="B87" s="19"/>
      <c r="C87" s="20"/>
      <c r="D87" s="19"/>
      <c r="E87" s="19"/>
      <c r="F87" s="25"/>
      <c r="G87" s="19"/>
      <c r="H87" s="19"/>
      <c r="I87" s="19"/>
      <c r="J87" s="19"/>
    </row>
    <row r="88" ht="15.75" customHeight="1">
      <c r="B88" s="19"/>
      <c r="C88" s="20"/>
      <c r="D88" s="19"/>
      <c r="E88" s="19"/>
      <c r="F88" s="25"/>
      <c r="G88" s="19"/>
      <c r="H88" s="19"/>
      <c r="I88" s="19"/>
      <c r="J88" s="19"/>
    </row>
    <row r="89" ht="15.75" customHeight="1">
      <c r="B89" s="19"/>
      <c r="C89" s="20"/>
      <c r="D89" s="19"/>
      <c r="E89" s="19"/>
      <c r="F89" s="25"/>
      <c r="G89" s="19"/>
      <c r="H89" s="19"/>
      <c r="I89" s="19"/>
      <c r="J89" s="19"/>
    </row>
    <row r="90" ht="15.75" customHeight="1">
      <c r="B90" s="19"/>
      <c r="C90" s="20"/>
      <c r="D90" s="19"/>
      <c r="E90" s="19"/>
      <c r="F90" s="25"/>
      <c r="G90" s="19"/>
      <c r="H90" s="19"/>
      <c r="I90" s="19"/>
      <c r="J90" s="19"/>
    </row>
    <row r="91" ht="15.75" customHeight="1">
      <c r="B91" s="19"/>
      <c r="C91" s="20"/>
      <c r="D91" s="19"/>
      <c r="E91" s="19"/>
      <c r="F91" s="25"/>
      <c r="G91" s="19"/>
      <c r="H91" s="19"/>
      <c r="I91" s="19"/>
      <c r="J91" s="19"/>
    </row>
    <row r="92" ht="15.75" customHeight="1">
      <c r="B92" s="19"/>
      <c r="C92" s="20"/>
      <c r="D92" s="19"/>
      <c r="E92" s="19"/>
      <c r="F92" s="25"/>
      <c r="G92" s="19"/>
      <c r="H92" s="19"/>
      <c r="I92" s="19"/>
      <c r="J92" s="19"/>
    </row>
    <row r="93" ht="15.75" customHeight="1">
      <c r="B93" s="19"/>
      <c r="C93" s="20"/>
      <c r="D93" s="19"/>
      <c r="E93" s="19"/>
      <c r="F93" s="25"/>
      <c r="G93" s="19"/>
      <c r="H93" s="19"/>
      <c r="I93" s="19"/>
      <c r="J93" s="19"/>
    </row>
    <row r="94" ht="15.75" customHeight="1">
      <c r="B94" s="19"/>
      <c r="C94" s="20"/>
      <c r="D94" s="19"/>
      <c r="E94" s="19"/>
      <c r="F94" s="25"/>
      <c r="G94" s="19"/>
      <c r="H94" s="19"/>
      <c r="I94" s="19"/>
      <c r="J94" s="19"/>
    </row>
    <row r="95" ht="15.75" customHeight="1">
      <c r="B95" s="19"/>
      <c r="C95" s="20"/>
      <c r="D95" s="19"/>
      <c r="E95" s="19"/>
      <c r="F95" s="25"/>
      <c r="G95" s="19"/>
      <c r="H95" s="19"/>
      <c r="I95" s="19"/>
      <c r="J95" s="19"/>
    </row>
    <row r="96" ht="15.75" customHeight="1">
      <c r="B96" s="19"/>
      <c r="C96" s="20"/>
      <c r="D96" s="19"/>
      <c r="E96" s="19"/>
      <c r="F96" s="25"/>
      <c r="G96" s="19"/>
      <c r="H96" s="19"/>
      <c r="I96" s="19"/>
      <c r="J96" s="19"/>
    </row>
    <row r="97" ht="15.75" customHeight="1">
      <c r="B97" s="19"/>
      <c r="C97" s="20"/>
      <c r="D97" s="19"/>
      <c r="E97" s="19"/>
      <c r="F97" s="25"/>
      <c r="G97" s="19"/>
      <c r="H97" s="19"/>
      <c r="I97" s="19"/>
      <c r="J97" s="19"/>
    </row>
    <row r="98" ht="15.75" customHeight="1">
      <c r="B98" s="19"/>
      <c r="C98" s="20"/>
      <c r="D98" s="19"/>
      <c r="E98" s="19"/>
      <c r="F98" s="25"/>
      <c r="G98" s="19"/>
      <c r="H98" s="19"/>
      <c r="I98" s="19"/>
      <c r="J98" s="19"/>
    </row>
    <row r="99" ht="15.75" customHeight="1">
      <c r="B99" s="19"/>
      <c r="C99" s="20"/>
      <c r="D99" s="19"/>
      <c r="E99" s="19"/>
      <c r="F99" s="25"/>
      <c r="G99" s="19"/>
      <c r="H99" s="19"/>
      <c r="I99" s="19"/>
      <c r="J99" s="19"/>
    </row>
    <row r="100" ht="15.75" customHeight="1">
      <c r="B100" s="19"/>
      <c r="C100" s="20"/>
      <c r="D100" s="19"/>
      <c r="E100" s="19"/>
      <c r="F100" s="25"/>
      <c r="G100" s="19"/>
      <c r="H100" s="19"/>
      <c r="I100" s="19"/>
      <c r="J100" s="19"/>
    </row>
    <row r="101" ht="15.75" customHeight="1">
      <c r="B101" s="19"/>
      <c r="C101" s="20"/>
      <c r="D101" s="19"/>
      <c r="E101" s="19"/>
      <c r="F101" s="25"/>
      <c r="G101" s="19"/>
      <c r="H101" s="19"/>
      <c r="I101" s="19"/>
      <c r="J101" s="19"/>
    </row>
    <row r="102" ht="15.75" customHeight="1">
      <c r="B102" s="19"/>
      <c r="C102" s="20"/>
      <c r="D102" s="19"/>
      <c r="E102" s="19"/>
      <c r="F102" s="25"/>
      <c r="G102" s="19"/>
      <c r="H102" s="19"/>
      <c r="I102" s="19"/>
      <c r="J102" s="19"/>
    </row>
    <row r="103" ht="15.75" customHeight="1">
      <c r="B103" s="19"/>
      <c r="C103" s="20"/>
      <c r="D103" s="19"/>
      <c r="E103" s="19"/>
      <c r="F103" s="25"/>
      <c r="G103" s="19"/>
      <c r="H103" s="19"/>
      <c r="I103" s="19"/>
      <c r="J103" s="19"/>
    </row>
    <row r="104" ht="15.75" customHeight="1">
      <c r="B104" s="19"/>
      <c r="C104" s="20"/>
      <c r="D104" s="19"/>
      <c r="E104" s="19"/>
      <c r="F104" s="25"/>
      <c r="G104" s="19"/>
      <c r="H104" s="19"/>
      <c r="I104" s="19"/>
      <c r="J104" s="19"/>
    </row>
    <row r="105" ht="15.75" customHeight="1">
      <c r="B105" s="19"/>
      <c r="C105" s="20"/>
      <c r="D105" s="19"/>
      <c r="E105" s="19"/>
      <c r="F105" s="25"/>
      <c r="G105" s="19"/>
      <c r="H105" s="19"/>
      <c r="I105" s="19"/>
      <c r="J105" s="19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6:H105">
      <formula1>"Efectivo,Transferencia,Tarjeta empresa,Tarjeta personal"</formula1>
    </dataValidation>
    <dataValidation type="list" allowBlank="1" sqref="E6:E105">
      <formula1>"Productos / esmaltes,Herramientas,Marketing / publicidad,Renta,Servicios (luz,agua,internet),Mobiliario,Capacitación,Limpieza,Otros"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2.0"/>
    <col customWidth="1" min="3" max="8" width="18.0"/>
    <col customWidth="1" min="9" max="26" width="8.71"/>
  </cols>
  <sheetData>
    <row r="2">
      <c r="B2" s="17" t="s">
        <v>188</v>
      </c>
    </row>
    <row r="3">
      <c r="B3" s="18" t="s">
        <v>189</v>
      </c>
    </row>
    <row r="5">
      <c r="B5" s="3" t="s">
        <v>190</v>
      </c>
      <c r="C5" s="36">
        <f>'Configuración'!C10</f>
        <v>4</v>
      </c>
      <c r="D5" s="3" t="s">
        <v>3</v>
      </c>
      <c r="E5" s="36">
        <f>'Configuración'!C9</f>
        <v>2026</v>
      </c>
    </row>
    <row r="7">
      <c r="B7" s="13" t="s">
        <v>17</v>
      </c>
      <c r="C7" s="13" t="s">
        <v>191</v>
      </c>
      <c r="D7" s="13" t="s">
        <v>192</v>
      </c>
      <c r="E7" s="13" t="s">
        <v>193</v>
      </c>
      <c r="F7" s="13" t="s">
        <v>194</v>
      </c>
      <c r="G7" s="13" t="s">
        <v>195</v>
      </c>
      <c r="H7" s="13" t="s">
        <v>196</v>
      </c>
    </row>
    <row r="8">
      <c r="B8" s="37" t="s">
        <v>165</v>
      </c>
      <c r="C8" s="38">
        <v>1.0</v>
      </c>
      <c r="D8" s="25">
        <f>SUMPRODUCT((Citas!H6:H205="Carolina (co-owner)")*(MONTH(Citas!C6:C205)=$C$5)*(YEAR(Citas!C6:C205)=$E$5)*(Citas!U6:U205="Completada")*Citas!R6:R205)</f>
        <v>0</v>
      </c>
      <c r="E8" s="25">
        <f>SUMPRODUCT((Citas!H6:H205="Carolina (co-owner)")*(MONTH(Citas!C6:C205)=$C$5)*(YEAR(Citas!C6:C205)=$E$5)*(Citas!U6:U205="Completada")*Citas!Z6:Z205)</f>
        <v>0</v>
      </c>
      <c r="F8" s="25">
        <f>SUMPRODUCT((Citas!H6:H205="Carolina (co-owner)")*(MONTH(Citas!C6:C205)=$C$5)*(YEAR(Citas!C6:C205)=$E$5)*(Citas!U6:U205="Completada")*Citas!P6:P205)</f>
        <v>0</v>
      </c>
      <c r="G8" s="25">
        <f t="array" ref="G8">IF(INDEX(Manicuristas!H6:H9,MATCH("Carolina (co-owner)",Manicuristas!C6:C9,0))="Sí",INDEX(Manicuristas!G6:G9,MATCH("Carolina (co-owner)",Manicuristas!C6:C9,0))*4.33,0)</f>
        <v>0</v>
      </c>
      <c r="H8" s="15">
        <f t="shared" ref="H8:H11" si="1">E8+F8+G8</f>
        <v>0</v>
      </c>
    </row>
    <row r="9">
      <c r="B9" s="37" t="s">
        <v>169</v>
      </c>
      <c r="C9" s="22">
        <f>SUMPRODUCT((Citas!H6:H205="Monse")*(MONTH(Citas!C6:C205)=$C$5)*(YEAR(Citas!C6:C205)=$E$5)*(Citas!U6:U205="Completada"))</f>
        <v>0</v>
      </c>
      <c r="D9" s="25">
        <f>SUMPRODUCT((Citas!H6:H205="Monse")*(MONTH(Citas!C6:C205)=$C$5)*(YEAR(Citas!C6:C205)=$E$5)*(Citas!U6:U205="Completada")*Citas!R6:R205)</f>
        <v>0</v>
      </c>
      <c r="E9" s="25">
        <f>SUMPRODUCT((Citas!H6:H205="Monse")*(MONTH(Citas!C6:C205)=$C$5)*(YEAR(Citas!C6:C205)=$E$5)*(Citas!U6:U205="Completada")*Citas!Z6:Z205)</f>
        <v>0</v>
      </c>
      <c r="F9" s="25">
        <f>SUMPRODUCT((Citas!H6:H205="Monse")*(MONTH(Citas!C6:C205)=$C$5)*(YEAR(Citas!C6:C205)=$E$5)*(Citas!U6:U205="Completada")*Citas!P6:P205)</f>
        <v>0</v>
      </c>
      <c r="G9" s="25">
        <f t="array" ref="G9">IF(INDEX(Manicuristas!H6:H9,MATCH("Monse",Manicuristas!C6:C9,0))="Sí",INDEX(Manicuristas!G6:G9,MATCH("Monse",Manicuristas!C6:C9,0))*4.33,0)</f>
        <v>0</v>
      </c>
      <c r="H9" s="15">
        <f t="shared" si="1"/>
        <v>0</v>
      </c>
    </row>
    <row r="10">
      <c r="B10" s="37" t="s">
        <v>172</v>
      </c>
      <c r="C10" s="22">
        <f>SUMPRODUCT((Citas!H6:H205="Manicurista 3 — Modelo A")*(MONTH(Citas!C6:C205)=$C$5)*(YEAR(Citas!C6:C205)=$E$5)*(Citas!U6:U205="Completada"))</f>
        <v>0</v>
      </c>
      <c r="D10" s="25">
        <f>SUMPRODUCT((Citas!H6:H205="Manicurista 3 — Modelo A")*(MONTH(Citas!C6:C205)=$C$5)*(YEAR(Citas!C6:C205)=$E$5)*(Citas!U6:U205="Completada")*Citas!R6:R205)</f>
        <v>0</v>
      </c>
      <c r="E10" s="25">
        <f>SUMPRODUCT((Citas!H6:H205="Manicurista 3 — Modelo A")*(MONTH(Citas!C6:C205)=$C$5)*(YEAR(Citas!C6:C205)=$E$5)*(Citas!U6:U205="Completada")*Citas!Z6:Z205)</f>
        <v>0</v>
      </c>
      <c r="F10" s="25">
        <f>SUMPRODUCT((Citas!H6:H205="Manicurista 3 — Modelo A")*(MONTH(Citas!C6:C205)=$C$5)*(YEAR(Citas!C6:C205)=$E$5)*(Citas!U6:U205="Completada")*Citas!P6:P205)</f>
        <v>0</v>
      </c>
      <c r="G10" s="25">
        <f t="array" ref="G10">IF(INDEX(Manicuristas!H6:H9,MATCH("Manicurista 3 — Modelo A",Manicuristas!C6:C9,0))="Sí",INDEX(Manicuristas!G6:G9,MATCH("Manicurista 3 — Modelo A",Manicuristas!C6:C9,0))*4.33,0)</f>
        <v>0</v>
      </c>
      <c r="H10" s="15">
        <f t="shared" si="1"/>
        <v>0</v>
      </c>
    </row>
    <row r="11">
      <c r="B11" s="37" t="s">
        <v>175</v>
      </c>
      <c r="C11" s="22">
        <f>SUMPRODUCT((Citas!H6:H205="Manicurista 3 — Modelo B")*(MONTH(Citas!C6:C205)=$C$5)*(YEAR(Citas!C6:C205)=$E$5)*(Citas!U6:U205="Completada"))</f>
        <v>0</v>
      </c>
      <c r="D11" s="25">
        <f>SUMPRODUCT((Citas!H6:H205="Manicurista 3 — Modelo B")*(MONTH(Citas!C6:C205)=$C$5)*(YEAR(Citas!C6:C205)=$E$5)*(Citas!U6:U205="Completada")*Citas!R6:R205)</f>
        <v>0</v>
      </c>
      <c r="E11" s="25">
        <f>SUMPRODUCT((Citas!H6:H205="Manicurista 3 — Modelo B")*(MONTH(Citas!C6:C205)=$C$5)*(YEAR(Citas!C6:C205)=$E$5)*(Citas!U6:U205="Completada")*Citas!Z6:Z205)</f>
        <v>0</v>
      </c>
      <c r="F11" s="25">
        <f>SUMPRODUCT((Citas!H6:H205="Manicurista 3 — Modelo B")*(MONTH(Citas!C6:C205)=$C$5)*(YEAR(Citas!C6:C205)=$E$5)*(Citas!U6:U205="Completada")*Citas!P6:P205)</f>
        <v>0</v>
      </c>
      <c r="G11" s="25">
        <f t="array" ref="G11">IF(INDEX(Manicuristas!H6:H9,MATCH("Manicurista 3 — Modelo B",Manicuristas!C6:C9,0))="Sí",INDEX(Manicuristas!G6:G9,MATCH("Manicurista 3 — Modelo B",Manicuristas!C6:C9,0))*4.33,0)</f>
        <v>0</v>
      </c>
      <c r="H11" s="15">
        <f t="shared" si="1"/>
        <v>0</v>
      </c>
    </row>
    <row r="12">
      <c r="B12" s="39" t="s">
        <v>197</v>
      </c>
      <c r="C12" s="40">
        <f t="shared" ref="C12:H12" si="2">SUM(C8:C11)</f>
        <v>1</v>
      </c>
      <c r="D12" s="41">
        <f t="shared" si="2"/>
        <v>0</v>
      </c>
      <c r="E12" s="41">
        <f t="shared" si="2"/>
        <v>0</v>
      </c>
      <c r="F12" s="41">
        <f t="shared" si="2"/>
        <v>0</v>
      </c>
      <c r="G12" s="41">
        <f t="shared" si="2"/>
        <v>0</v>
      </c>
      <c r="H12" s="41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2.0"/>
    <col customWidth="1" min="3" max="3" width="28.0"/>
    <col customWidth="1" min="4" max="4" width="50.0"/>
    <col customWidth="1" min="5" max="26" width="8.71"/>
  </cols>
  <sheetData>
    <row r="2">
      <c r="B2" s="17" t="s">
        <v>0</v>
      </c>
    </row>
    <row r="3">
      <c r="B3" s="18" t="s">
        <v>198</v>
      </c>
    </row>
    <row r="5">
      <c r="B5" s="13" t="s">
        <v>199</v>
      </c>
      <c r="C5" s="13" t="s">
        <v>200</v>
      </c>
      <c r="D5" s="13" t="s">
        <v>201</v>
      </c>
    </row>
    <row r="6">
      <c r="B6" s="42" t="s">
        <v>202</v>
      </c>
      <c r="C6" s="43" t="s">
        <v>0</v>
      </c>
      <c r="D6" s="33" t="s">
        <v>203</v>
      </c>
    </row>
    <row r="7">
      <c r="B7" s="42" t="s">
        <v>204</v>
      </c>
      <c r="C7" s="43" t="s">
        <v>205</v>
      </c>
      <c r="D7" s="33" t="s">
        <v>206</v>
      </c>
    </row>
    <row r="8">
      <c r="B8" s="42" t="s">
        <v>207</v>
      </c>
      <c r="C8" s="43" t="s">
        <v>208</v>
      </c>
      <c r="D8" s="33" t="s">
        <v>209</v>
      </c>
    </row>
    <row r="9">
      <c r="B9" s="42" t="s">
        <v>210</v>
      </c>
      <c r="C9" s="43">
        <v>2026.0</v>
      </c>
      <c r="D9" s="33" t="s">
        <v>211</v>
      </c>
    </row>
    <row r="10">
      <c r="B10" s="42" t="s">
        <v>212</v>
      </c>
      <c r="C10" s="43">
        <v>4.0</v>
      </c>
      <c r="D10" s="33" t="s">
        <v>213</v>
      </c>
    </row>
    <row r="11">
      <c r="B11" s="42" t="s">
        <v>214</v>
      </c>
      <c r="C11" s="43" t="s">
        <v>215</v>
      </c>
      <c r="D11" s="33" t="s">
        <v>216</v>
      </c>
    </row>
    <row r="12">
      <c r="B12" s="42" t="s">
        <v>217</v>
      </c>
      <c r="C12" s="43" t="s">
        <v>218</v>
      </c>
      <c r="D12" s="33" t="s">
        <v>219</v>
      </c>
    </row>
    <row r="13">
      <c r="B13" s="42" t="s">
        <v>220</v>
      </c>
      <c r="C13" s="44">
        <v>1.0</v>
      </c>
      <c r="D13" s="33" t="s">
        <v>221</v>
      </c>
    </row>
    <row r="14">
      <c r="B14" s="42" t="s">
        <v>222</v>
      </c>
      <c r="C14" s="43" t="s">
        <v>223</v>
      </c>
      <c r="D14" s="33" t="s">
        <v>224</v>
      </c>
    </row>
    <row r="17">
      <c r="B17" s="45" t="s">
        <v>225</v>
      </c>
    </row>
    <row r="18">
      <c r="B18" s="46" t="s">
        <v>226</v>
      </c>
    </row>
    <row r="19">
      <c r="B19" s="46" t="s">
        <v>227</v>
      </c>
    </row>
    <row r="20">
      <c r="B20" s="46" t="s">
        <v>228</v>
      </c>
    </row>
    <row r="21" ht="15.75" customHeight="1">
      <c r="B21" s="46" t="s">
        <v>229</v>
      </c>
    </row>
    <row r="22" ht="15.75" customHeight="1">
      <c r="B22" s="46"/>
    </row>
    <row r="23" ht="15.75" customHeight="1">
      <c r="B23" s="46" t="s">
        <v>230</v>
      </c>
    </row>
    <row r="24" ht="15.75" customHeight="1">
      <c r="B24" s="46"/>
    </row>
    <row r="25" ht="15.75" customHeight="1">
      <c r="B25" s="46" t="s">
        <v>231</v>
      </c>
    </row>
    <row r="26" ht="15.75" customHeight="1">
      <c r="B26" s="46"/>
    </row>
    <row r="27" ht="15.75" customHeight="1">
      <c r="B27" s="46" t="s">
        <v>232</v>
      </c>
    </row>
    <row r="28" ht="15.75" customHeight="1">
      <c r="B28" s="46"/>
    </row>
    <row r="29" ht="15.75" customHeight="1">
      <c r="B29" s="46" t="s">
        <v>233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5:D25"/>
    <mergeCell ref="B26:D26"/>
    <mergeCell ref="B27:D27"/>
    <mergeCell ref="B28:D28"/>
    <mergeCell ref="B29:D29"/>
    <mergeCell ref="B18:D18"/>
    <mergeCell ref="B19:D19"/>
    <mergeCell ref="B20:D20"/>
    <mergeCell ref="B21:D21"/>
    <mergeCell ref="B22:D22"/>
    <mergeCell ref="B23:D23"/>
    <mergeCell ref="B24:D24"/>
  </mergeCells>
  <printOptions/>
  <pageMargins bottom="1.0" footer="0.0" header="0.0" left="0.75" right="0.75" top="1.0"/>
  <pageSetup orientation="landscape"/>
  <drawing r:id="rId1"/>
</worksheet>
</file>